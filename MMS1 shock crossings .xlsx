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c52e59f0118ff2/Desktop/Bsc project/"/>
    </mc:Choice>
  </mc:AlternateContent>
  <xr:revisionPtr revIDLastSave="1886" documentId="8_{FB856EF2-DED0-4E51-B7BF-5A6D80D882DD}" xr6:coauthVersionLast="47" xr6:coauthVersionMax="47" xr10:uidLastSave="{EC90D696-CE1E-4B9E-9E25-27936C852E49}"/>
  <bookViews>
    <workbookView xWindow="-120" yWindow="-120" windowWidth="38640" windowHeight="21120" xr2:uid="{9EDEFE95-A201-4986-9BC3-68A5840699CD}"/>
  </bookViews>
  <sheets>
    <sheet name="MMS1 shock crossings 1 " sheetId="1" r:id="rId1"/>
    <sheet name="MMS1 shock crossings 2" sheetId="3" r:id="rId2"/>
    <sheet name="Sheet2" sheetId="2" r:id="rId3"/>
  </sheets>
  <definedNames>
    <definedName name="_xlnm._FilterDatabase" localSheetId="0" hidden="1">'MMS1 shock crossings 1 '!$S$2:$S$47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1" l="1"/>
  <c r="S2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S5" i="1"/>
  <c r="S26" i="1"/>
  <c r="S24" i="1"/>
  <c r="S4" i="1"/>
  <c r="S25" i="1"/>
  <c r="S4" i="3"/>
  <c r="S12" i="3"/>
  <c r="S3" i="3"/>
  <c r="S6" i="3"/>
  <c r="S5" i="3"/>
  <c r="S17" i="1"/>
  <c r="S9" i="3"/>
  <c r="S8" i="3"/>
  <c r="S14" i="1"/>
  <c r="S22" i="1"/>
  <c r="S6" i="1"/>
  <c r="S16" i="1"/>
  <c r="S10" i="3"/>
  <c r="S3" i="1"/>
  <c r="S7" i="1"/>
  <c r="S13" i="1"/>
  <c r="S11" i="3"/>
  <c r="S21" i="1"/>
  <c r="S20" i="1"/>
  <c r="S10" i="1"/>
  <c r="S9" i="1"/>
  <c r="S15" i="1"/>
  <c r="S7" i="3"/>
  <c r="S12" i="1"/>
  <c r="S11" i="1"/>
  <c r="S23" i="1"/>
  <c r="S8" i="1"/>
  <c r="S19" i="1"/>
  <c r="S18" i="1"/>
  <c r="S27" i="1"/>
  <c r="S28" i="1"/>
  <c r="S37" i="1"/>
  <c r="S30" i="1"/>
  <c r="S31" i="1"/>
  <c r="S34" i="1"/>
  <c r="S33" i="1"/>
  <c r="S35" i="1"/>
  <c r="S36" i="1"/>
  <c r="S32" i="1"/>
  <c r="S40" i="1"/>
  <c r="S38" i="1"/>
  <c r="S39" i="1"/>
  <c r="S41" i="1"/>
  <c r="S42" i="1"/>
  <c r="S43" i="1"/>
  <c r="S44" i="1"/>
  <c r="S46" i="1"/>
  <c r="S45" i="1"/>
  <c r="S47" i="1"/>
</calcChain>
</file>

<file path=xl/sharedStrings.xml><?xml version="1.0" encoding="utf-8"?>
<sst xmlns="http://schemas.openxmlformats.org/spreadsheetml/2006/main" count="134" uniqueCount="34">
  <si>
    <t>Date</t>
  </si>
  <si>
    <t>Overshoot time</t>
  </si>
  <si>
    <t>Upstream</t>
  </si>
  <si>
    <t>start</t>
  </si>
  <si>
    <t>end</t>
  </si>
  <si>
    <t>Downstream</t>
  </si>
  <si>
    <t xml:space="preserve">start </t>
  </si>
  <si>
    <t>MC</t>
  </si>
  <si>
    <t>MX1</t>
  </si>
  <si>
    <t>x</t>
  </si>
  <si>
    <t>y</t>
  </si>
  <si>
    <t>z</t>
  </si>
  <si>
    <t>Shock velocity (kms-1)</t>
  </si>
  <si>
    <t>MF-MC</t>
  </si>
  <si>
    <t>MF-MX1</t>
  </si>
  <si>
    <t>SB</t>
  </si>
  <si>
    <t>Alfven Mach</t>
  </si>
  <si>
    <t>p</t>
  </si>
  <si>
    <t>Shock obliquity(degrees)</t>
  </si>
  <si>
    <t>Abbreviations</t>
  </si>
  <si>
    <t>Meanings</t>
  </si>
  <si>
    <t>magnetic coplanarity</t>
  </si>
  <si>
    <t>Mixed modes 1</t>
  </si>
  <si>
    <t>MF</t>
  </si>
  <si>
    <t>Mass flux</t>
  </si>
  <si>
    <t>Smith Burton</t>
  </si>
  <si>
    <t>u/d</t>
  </si>
  <si>
    <t>u</t>
  </si>
  <si>
    <t>d</t>
  </si>
  <si>
    <t>R</t>
  </si>
  <si>
    <t>Mean</t>
  </si>
  <si>
    <t xml:space="preserve">          18:54:46</t>
  </si>
  <si>
    <t>F</t>
  </si>
  <si>
    <t>E_MAX (keV)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</si>
</sst>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;@"/>
  </numFmts>
  <fonts count="8">
    <font>
      <sz val="11"/>
      <color theme="1"/>
      <name val="Aptos Narrow"/>
      <family val="2"/>
      <scheme val="minor"/>
    </font>
    <font>
      <sz val="11"/>
      <color rgb="FF839496"/>
      <name val="Consolas"/>
      <family val="3"/>
    </font>
    <font>
      <sz val="11"/>
      <color rgb="FF2AA198"/>
      <name val="Consolas"/>
      <family val="3"/>
    </font>
    <font>
      <sz val="11"/>
      <color rgb="FF242424"/>
      <name val="Arial Unicode MS"/>
    </font>
    <font>
      <sz val="11"/>
      <color theme="1"/>
      <name val="Consolas"/>
      <family val="3"/>
    </font>
    <font>
      <sz val="11"/>
      <color theme="1"/>
      <name val="Arial Unicode MS"/>
    </font>
    <font>
      <sz val="11"/>
      <color theme="1"/>
      <name val="Arial"/>
      <family val="2"/>
    </font>
    <font>
      <sz val="11"/>
      <color theme="1"/>
      <name val="Arial#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 applyAlignment="1">
      <alignment vertical="center"/>
    </xf>
    <xf numFmtId="164" fontId="0" fillId="0" borderId="0" xfId="0" applyNumberFormat="1"/>
    <xf numFmtId="164" fontId="2" fillId="0" borderId="0" xfId="0" applyNumberFormat="1" applyFont="1" applyAlignment="1">
      <alignment vertical="center"/>
    </xf>
    <xf numFmtId="21" fontId="3" fillId="0" borderId="0" xfId="0" applyNumberFormat="1" applyFont="1" applyAlignment="1">
      <alignment vertical="center"/>
    </xf>
    <xf numFmtId="21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1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533400</xdr:colOff>
      <xdr:row>18</xdr:row>
      <xdr:rowOff>61912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5BDBF5-8F0A-7C7A-6855-59945600CB11}"/>
            </a:ext>
          </a:extLst>
        </xdr:cNvPr>
        <xdr:cNvSpPr txBox="1"/>
      </xdr:nvSpPr>
      <xdr:spPr>
        <a:xfrm>
          <a:off x="11506200" y="48244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533400</xdr:colOff>
      <xdr:row>18</xdr:row>
      <xdr:rowOff>61912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5CD412-F6DF-48AF-A819-8A5A279160C5}"/>
            </a:ext>
          </a:extLst>
        </xdr:cNvPr>
        <xdr:cNvSpPr txBox="1"/>
      </xdr:nvSpPr>
      <xdr:spPr>
        <a:xfrm>
          <a:off x="12944475" y="52054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3346-58F1-4909-8071-DCA50D847C0D}">
  <dimension ref="A1:Y47"/>
  <sheetViews>
    <sheetView tabSelected="1" zoomScaleNormal="100" workbookViewId="0">
      <selection activeCell="AB7" sqref="AB7"/>
    </sheetView>
  </sheetViews>
  <sheetFormatPr defaultRowHeight="15"/>
  <cols>
    <col min="1" max="1" width="12.42578125" style="15" customWidth="1"/>
    <col min="2" max="2" width="14.42578125" style="4" bestFit="1" customWidth="1"/>
    <col min="3" max="3" width="9.140625" style="4"/>
    <col min="4" max="7" width="10.140625" style="4" bestFit="1" customWidth="1"/>
    <col min="8" max="9" width="7.85546875" bestFit="1" customWidth="1"/>
    <col min="10" max="10" width="9" bestFit="1" customWidth="1"/>
    <col min="11" max="11" width="6.7109375" bestFit="1" customWidth="1"/>
    <col min="12" max="13" width="9" bestFit="1" customWidth="1"/>
    <col min="14" max="14" width="9.140625" customWidth="1"/>
    <col min="15" max="15" width="9" bestFit="1" customWidth="1"/>
    <col min="16" max="16" width="7.85546875" bestFit="1" customWidth="1"/>
    <col min="17" max="17" width="8.85546875" customWidth="1"/>
    <col min="18" max="19" width="13.28515625" customWidth="1"/>
    <col min="21" max="21" width="6.7109375" bestFit="1" customWidth="1"/>
    <col min="22" max="22" width="6.7109375" customWidth="1"/>
    <col min="23" max="23" width="15.7109375" customWidth="1"/>
  </cols>
  <sheetData>
    <row r="1" spans="1:25">
      <c r="D1" s="17" t="s">
        <v>2</v>
      </c>
      <c r="E1" s="17"/>
      <c r="F1" s="17" t="s">
        <v>5</v>
      </c>
      <c r="G1" s="17"/>
      <c r="H1" s="16" t="s">
        <v>7</v>
      </c>
      <c r="I1" s="16"/>
      <c r="J1" s="16"/>
      <c r="K1" s="16" t="s">
        <v>8</v>
      </c>
      <c r="L1" s="16"/>
      <c r="M1" s="16"/>
      <c r="N1" s="16" t="s">
        <v>12</v>
      </c>
      <c r="O1" s="16"/>
      <c r="P1" s="16"/>
      <c r="Q1" s="16" t="s">
        <v>18</v>
      </c>
      <c r="R1" s="16"/>
      <c r="S1" s="16"/>
      <c r="T1" s="16" t="s">
        <v>16</v>
      </c>
      <c r="U1" s="16"/>
      <c r="V1" s="16"/>
    </row>
    <row r="2" spans="1:25">
      <c r="A2" s="15" t="s">
        <v>0</v>
      </c>
      <c r="B2" s="4" t="s">
        <v>1</v>
      </c>
      <c r="C2" s="4" t="s">
        <v>26</v>
      </c>
      <c r="D2" s="4" t="s">
        <v>3</v>
      </c>
      <c r="E2" s="4" t="s">
        <v>4</v>
      </c>
      <c r="F2" s="4" t="s">
        <v>6</v>
      </c>
      <c r="G2" s="4" t="s">
        <v>4</v>
      </c>
      <c r="H2" t="s">
        <v>9</v>
      </c>
      <c r="I2" t="s">
        <v>10</v>
      </c>
      <c r="J2" t="s">
        <v>11</v>
      </c>
      <c r="K2" t="s">
        <v>9</v>
      </c>
      <c r="L2" t="s">
        <v>10</v>
      </c>
      <c r="M2" t="s">
        <v>11</v>
      </c>
      <c r="N2" t="s">
        <v>13</v>
      </c>
      <c r="O2" t="s">
        <v>14</v>
      </c>
      <c r="P2" t="s">
        <v>15</v>
      </c>
      <c r="Q2" t="s">
        <v>7</v>
      </c>
      <c r="R2" t="s">
        <v>8</v>
      </c>
      <c r="S2" t="s">
        <v>30</v>
      </c>
      <c r="T2" t="s">
        <v>7</v>
      </c>
      <c r="U2" t="s">
        <v>8</v>
      </c>
      <c r="V2" t="s">
        <v>30</v>
      </c>
      <c r="W2" t="s">
        <v>17</v>
      </c>
      <c r="X2" t="s">
        <v>29</v>
      </c>
      <c r="Y2" t="s">
        <v>33</v>
      </c>
    </row>
    <row r="3" spans="1:25">
      <c r="A3" s="3">
        <v>43021</v>
      </c>
      <c r="B3" s="13">
        <v>0.37496527777777777</v>
      </c>
      <c r="C3" s="4" t="s">
        <v>27</v>
      </c>
      <c r="D3" s="7">
        <v>0.37435185185185182</v>
      </c>
      <c r="E3" s="7">
        <v>0.37471064814814814</v>
      </c>
      <c r="F3" s="7">
        <v>0.37525462962962963</v>
      </c>
      <c r="G3" s="7">
        <v>0.37638888888888888</v>
      </c>
      <c r="H3" s="1">
        <v>0.751</v>
      </c>
      <c r="I3" s="1">
        <v>0.59499999999999997</v>
      </c>
      <c r="J3" s="1">
        <v>0.28299999999999997</v>
      </c>
      <c r="K3" s="1">
        <v>0.24099999999999999</v>
      </c>
      <c r="L3" s="1">
        <v>0.96199999999999997</v>
      </c>
      <c r="M3" s="1">
        <v>0.126</v>
      </c>
      <c r="N3" s="1">
        <v>509.64100000000002</v>
      </c>
      <c r="O3" s="1">
        <v>321.661</v>
      </c>
      <c r="P3" s="1">
        <v>476.24400000000003</v>
      </c>
      <c r="Q3" s="1">
        <v>40.409999999999997</v>
      </c>
      <c r="R3" s="1">
        <v>70.995000000000005</v>
      </c>
      <c r="S3" s="1">
        <f t="shared" ref="S3:S47" si="0">AVERAGE(Q3,R3)</f>
        <v>55.702500000000001</v>
      </c>
      <c r="T3" s="1">
        <v>6.593</v>
      </c>
      <c r="U3" s="1">
        <v>1.885</v>
      </c>
      <c r="V3" s="1">
        <f t="shared" ref="V3:V47" si="1">AVERAGE(T3,U3)</f>
        <v>4.2389999999999999</v>
      </c>
      <c r="W3" s="1">
        <v>-2.9529999999999998</v>
      </c>
      <c r="X3" t="e">
        <v>#NUM!</v>
      </c>
      <c r="Y3">
        <v>76.8</v>
      </c>
    </row>
    <row r="4" spans="1:25">
      <c r="A4" s="3">
        <v>43098</v>
      </c>
      <c r="B4" s="13">
        <v>4.4907407407407405E-3</v>
      </c>
      <c r="C4" s="4" t="s">
        <v>28</v>
      </c>
      <c r="D4" s="7">
        <v>5.5439814814814813E-3</v>
      </c>
      <c r="E4" s="7">
        <v>4.8495370370370368E-3</v>
      </c>
      <c r="F4" s="7">
        <v>3.0787037037037037E-3</v>
      </c>
      <c r="G4" s="7">
        <v>1.6898148148148148E-3</v>
      </c>
      <c r="H4" s="1">
        <v>0.97199999999999998</v>
      </c>
      <c r="I4" s="1">
        <v>0.20200000000000001</v>
      </c>
      <c r="J4" s="1">
        <v>0.115</v>
      </c>
      <c r="K4" s="1">
        <v>0.97499999999999998</v>
      </c>
      <c r="L4" s="1">
        <v>0.20899999999999999</v>
      </c>
      <c r="M4" s="1">
        <v>6.0999999999999999E-2</v>
      </c>
      <c r="N4" s="1">
        <v>10.331</v>
      </c>
      <c r="O4" s="1">
        <v>12.113</v>
      </c>
      <c r="P4" s="1">
        <v>45.277999999999999</v>
      </c>
      <c r="Q4" s="1">
        <v>9.4139999999999997</v>
      </c>
      <c r="R4" s="1">
        <v>9.9190000000000005</v>
      </c>
      <c r="S4" s="1">
        <f t="shared" si="0"/>
        <v>9.6664999999999992</v>
      </c>
      <c r="T4" s="1">
        <v>5.4130000000000003</v>
      </c>
      <c r="U4" s="1">
        <v>5.476</v>
      </c>
      <c r="V4" s="1">
        <f t="shared" si="1"/>
        <v>5.4444999999999997</v>
      </c>
      <c r="W4" s="1">
        <v>-2.4430000000000001</v>
      </c>
      <c r="X4" t="e">
        <v>#NUM!</v>
      </c>
      <c r="Y4">
        <v>76.8</v>
      </c>
    </row>
    <row r="5" spans="1:25">
      <c r="A5" s="3">
        <v>43180</v>
      </c>
      <c r="B5" s="13">
        <v>0.90008101851851852</v>
      </c>
      <c r="C5" s="4" t="s">
        <v>27</v>
      </c>
      <c r="D5" s="7">
        <v>0.89958333333333329</v>
      </c>
      <c r="E5" s="7">
        <v>0.8998842592592593</v>
      </c>
      <c r="F5" s="7">
        <v>0.9004861111111111</v>
      </c>
      <c r="G5" s="7">
        <v>0.9007060185185185</v>
      </c>
      <c r="H5" s="1">
        <v>0.54600000000000004</v>
      </c>
      <c r="I5" s="1">
        <v>-0.82299999999999995</v>
      </c>
      <c r="J5" s="1">
        <v>0.156</v>
      </c>
      <c r="K5" s="1">
        <v>0.629</v>
      </c>
      <c r="L5" s="1">
        <v>-0.76200000000000001</v>
      </c>
      <c r="M5" s="1">
        <v>0.14399999999999999</v>
      </c>
      <c r="N5" s="1">
        <v>45.442999999999998</v>
      </c>
      <c r="O5" s="1">
        <v>20.542000000000002</v>
      </c>
      <c r="P5" s="1">
        <v>35.573999999999998</v>
      </c>
      <c r="Q5" s="1">
        <v>58.174999999999997</v>
      </c>
      <c r="R5" s="1">
        <v>58.366999999999997</v>
      </c>
      <c r="S5" s="1">
        <f t="shared" si="0"/>
        <v>58.271000000000001</v>
      </c>
      <c r="T5" s="1">
        <v>5.25</v>
      </c>
      <c r="U5" s="1">
        <v>5.9710000000000001</v>
      </c>
      <c r="V5" s="1">
        <f t="shared" si="1"/>
        <v>5.6105</v>
      </c>
      <c r="W5" s="1">
        <v>-3.077</v>
      </c>
      <c r="X5" t="e">
        <v>#NUM!</v>
      </c>
      <c r="Y5">
        <v>76.8</v>
      </c>
    </row>
    <row r="6" spans="1:25">
      <c r="A6" s="3">
        <v>43411</v>
      </c>
      <c r="B6" s="13">
        <v>0.72437499999999999</v>
      </c>
      <c r="C6" s="4" t="s">
        <v>28</v>
      </c>
      <c r="D6" s="7">
        <v>0.72638888888888886</v>
      </c>
      <c r="E6" s="7">
        <v>0.72505787037037039</v>
      </c>
      <c r="F6" s="7">
        <v>0.72386574074074073</v>
      </c>
      <c r="G6" s="7">
        <v>0.72299768518518515</v>
      </c>
      <c r="H6" s="1">
        <v>0.47299999999999998</v>
      </c>
      <c r="I6" s="1">
        <v>-0.78200000000000003</v>
      </c>
      <c r="J6" s="1">
        <v>-0.40500000000000003</v>
      </c>
      <c r="K6" s="1">
        <v>0.43</v>
      </c>
      <c r="L6" s="1">
        <v>0.79300000000000004</v>
      </c>
      <c r="M6" s="1">
        <v>0.43</v>
      </c>
      <c r="N6" s="1">
        <v>80.031999999999996</v>
      </c>
      <c r="O6" s="1">
        <v>92.637</v>
      </c>
      <c r="P6" s="1">
        <v>137.79400000000001</v>
      </c>
      <c r="Q6" s="1">
        <v>50.19</v>
      </c>
      <c r="R6" s="1">
        <v>50.253</v>
      </c>
      <c r="S6" s="1">
        <f t="shared" si="0"/>
        <v>50.221499999999999</v>
      </c>
      <c r="T6" s="1">
        <v>1.3180000000000001</v>
      </c>
      <c r="U6" s="1">
        <v>1.171</v>
      </c>
      <c r="V6" s="1">
        <f t="shared" si="1"/>
        <v>1.2444999999999999</v>
      </c>
      <c r="W6" s="1">
        <v>-2.9169999999999998</v>
      </c>
      <c r="X6" t="e">
        <v>#NUM!</v>
      </c>
      <c r="Y6">
        <v>12.2</v>
      </c>
    </row>
    <row r="7" spans="1:25">
      <c r="A7" s="3">
        <v>43411</v>
      </c>
      <c r="B7" s="13">
        <v>0.72251157407407407</v>
      </c>
      <c r="C7" s="4" t="s">
        <v>27</v>
      </c>
      <c r="D7" s="7">
        <v>0.72150462962962958</v>
      </c>
      <c r="E7" s="7">
        <v>0.72225694444444444</v>
      </c>
      <c r="F7" s="7">
        <v>0.72299768518518515</v>
      </c>
      <c r="G7" s="7">
        <v>0.72386574074074073</v>
      </c>
      <c r="H7" s="1">
        <v>0.62</v>
      </c>
      <c r="I7" s="1">
        <v>-0.71199999999999997</v>
      </c>
      <c r="J7" s="1">
        <v>-0.32600000000000001</v>
      </c>
      <c r="K7" s="1">
        <v>0.72599999999999998</v>
      </c>
      <c r="L7" s="1">
        <v>0.64800000000000002</v>
      </c>
      <c r="M7" s="1">
        <v>0.22500000000000001</v>
      </c>
      <c r="N7" s="1">
        <v>37.35</v>
      </c>
      <c r="O7" s="1">
        <v>2.62</v>
      </c>
      <c r="P7" s="1">
        <v>14.041</v>
      </c>
      <c r="Q7" s="1">
        <v>42.801000000000002</v>
      </c>
      <c r="R7" s="1">
        <v>43.584000000000003</v>
      </c>
      <c r="S7" s="1">
        <f t="shared" si="0"/>
        <v>43.192500000000003</v>
      </c>
      <c r="T7" s="1">
        <v>3.1419999999999999</v>
      </c>
      <c r="U7" s="1">
        <v>3.8039999999999998</v>
      </c>
      <c r="V7" s="1">
        <f t="shared" si="1"/>
        <v>3.4729999999999999</v>
      </c>
      <c r="W7" s="1">
        <v>-3.41</v>
      </c>
      <c r="X7" t="e">
        <v>#NUM!</v>
      </c>
      <c r="Y7">
        <v>12.2</v>
      </c>
    </row>
    <row r="8" spans="1:25">
      <c r="A8" s="3">
        <v>43461</v>
      </c>
      <c r="B8" s="13">
        <v>0.26753472222222224</v>
      </c>
      <c r="C8" s="4" t="s">
        <v>28</v>
      </c>
      <c r="D8" s="7">
        <v>0.26771990740740742</v>
      </c>
      <c r="E8" s="7">
        <v>0.26758101851851851</v>
      </c>
      <c r="F8" s="7">
        <v>0.26729166666666665</v>
      </c>
      <c r="G8" s="7">
        <v>0.26710648148148147</v>
      </c>
      <c r="H8" s="1">
        <v>0.96</v>
      </c>
      <c r="I8" s="1">
        <v>0.25900000000000001</v>
      </c>
      <c r="J8" s="1">
        <v>0.10199999999999999</v>
      </c>
      <c r="K8" s="1">
        <v>0.78400000000000003</v>
      </c>
      <c r="L8" s="1">
        <v>-0.57799999999999996</v>
      </c>
      <c r="M8" s="1">
        <v>-0.224</v>
      </c>
      <c r="N8" s="1">
        <v>1.524</v>
      </c>
      <c r="O8" s="1">
        <v>67.182000000000002</v>
      </c>
      <c r="P8" s="1">
        <v>398.017</v>
      </c>
      <c r="Q8" s="1">
        <v>30.411999999999999</v>
      </c>
      <c r="R8" s="1">
        <v>36.975000000000001</v>
      </c>
      <c r="S8" s="1">
        <f t="shared" si="0"/>
        <v>33.6935</v>
      </c>
      <c r="T8" s="1">
        <v>6.6260000000000003</v>
      </c>
      <c r="U8" s="1">
        <v>5.117</v>
      </c>
      <c r="V8" s="1">
        <f t="shared" si="1"/>
        <v>5.8715000000000002</v>
      </c>
      <c r="W8" s="1">
        <v>-2.6469999999999998</v>
      </c>
      <c r="X8" t="e">
        <v>#NUM!</v>
      </c>
      <c r="Y8">
        <v>28.3</v>
      </c>
    </row>
    <row r="9" spans="1:25">
      <c r="A9" s="3">
        <v>43586</v>
      </c>
      <c r="B9" s="4">
        <v>0.31784722222222223</v>
      </c>
      <c r="C9" s="4" t="s">
        <v>28</v>
      </c>
      <c r="D9" s="7">
        <v>0.31935185185185183</v>
      </c>
      <c r="E9" s="7">
        <v>0.31899305555555557</v>
      </c>
      <c r="F9" s="7">
        <v>0.3160648148148148</v>
      </c>
      <c r="G9" s="7">
        <v>0.31565972222222222</v>
      </c>
      <c r="H9" s="1">
        <v>0.57599999999999996</v>
      </c>
      <c r="I9" s="1">
        <v>-0.81599999999999995</v>
      </c>
      <c r="J9" s="1">
        <v>2.3E-2</v>
      </c>
      <c r="K9" s="1">
        <v>0.42399999999999999</v>
      </c>
      <c r="L9" s="1">
        <v>0.90500000000000003</v>
      </c>
      <c r="M9" s="1">
        <v>5.0000000000000001E-3</v>
      </c>
      <c r="N9" s="1">
        <v>19.399000000000001</v>
      </c>
      <c r="O9" s="1">
        <v>28.109000000000002</v>
      </c>
      <c r="P9" s="1">
        <v>223.67400000000001</v>
      </c>
      <c r="Q9" s="1">
        <v>31.114000000000001</v>
      </c>
      <c r="R9" s="1">
        <v>32.585999999999999</v>
      </c>
      <c r="S9" s="1">
        <f t="shared" si="0"/>
        <v>31.85</v>
      </c>
      <c r="T9" s="1">
        <v>3.6059999999999999</v>
      </c>
      <c r="U9" s="1">
        <v>2.5760000000000001</v>
      </c>
      <c r="V9" s="1">
        <f t="shared" si="1"/>
        <v>3.0910000000000002</v>
      </c>
      <c r="W9" s="1">
        <v>-3.4860000000000002</v>
      </c>
      <c r="X9" t="e">
        <v>#NUM!</v>
      </c>
      <c r="Y9">
        <v>76.8</v>
      </c>
    </row>
    <row r="10" spans="1:25">
      <c r="A10" s="3">
        <v>43586</v>
      </c>
      <c r="B10" s="4">
        <v>0.40824074074074074</v>
      </c>
      <c r="C10" s="4" t="s">
        <v>27</v>
      </c>
      <c r="D10" s="7">
        <v>0.40651620370370373</v>
      </c>
      <c r="E10" s="7">
        <v>0.40787037037037038</v>
      </c>
      <c r="F10" s="7">
        <v>0.40885416666666669</v>
      </c>
      <c r="G10" s="7">
        <v>0.40949074074074077</v>
      </c>
      <c r="H10" s="1">
        <v>0.65700000000000003</v>
      </c>
      <c r="I10" s="1">
        <v>-0.753</v>
      </c>
      <c r="J10" s="1">
        <v>2E-3</v>
      </c>
      <c r="K10" s="1">
        <v>0.56599999999999995</v>
      </c>
      <c r="L10" s="1">
        <v>-0.80100000000000005</v>
      </c>
      <c r="M10" s="1">
        <v>0.188</v>
      </c>
      <c r="N10" s="1">
        <v>23.841000000000001</v>
      </c>
      <c r="O10" s="1">
        <v>14.943</v>
      </c>
      <c r="P10" s="1">
        <v>73.983000000000004</v>
      </c>
      <c r="Q10" s="1">
        <v>27.193000000000001</v>
      </c>
      <c r="R10" s="1">
        <v>29.617000000000001</v>
      </c>
      <c r="S10" s="1">
        <f t="shared" si="0"/>
        <v>28.405000000000001</v>
      </c>
      <c r="T10" s="1">
        <v>3.21</v>
      </c>
      <c r="U10" s="1">
        <v>2.677</v>
      </c>
      <c r="V10" s="1">
        <f t="shared" si="1"/>
        <v>2.9435000000000002</v>
      </c>
      <c r="W10" s="1">
        <v>-2.589</v>
      </c>
      <c r="X10" t="e">
        <v>#NUM!</v>
      </c>
      <c r="Y10">
        <v>57.9</v>
      </c>
    </row>
    <row r="11" spans="1:25">
      <c r="A11" s="3">
        <v>43586</v>
      </c>
      <c r="B11" s="13">
        <v>0.44810185185185186</v>
      </c>
      <c r="C11" s="4" t="s">
        <v>28</v>
      </c>
      <c r="D11" s="7">
        <v>0.44827546296296295</v>
      </c>
      <c r="E11" s="7">
        <v>0.44820601851851855</v>
      </c>
      <c r="F11" s="7">
        <v>0.44783564814814814</v>
      </c>
      <c r="G11" s="7">
        <v>0.44774305555555555</v>
      </c>
      <c r="H11" s="1">
        <v>0.58099999999999996</v>
      </c>
      <c r="I11" s="1">
        <v>-0.76700000000000002</v>
      </c>
      <c r="J11" s="1">
        <v>-0.27</v>
      </c>
      <c r="K11" s="1">
        <v>0.57799999999999996</v>
      </c>
      <c r="L11" s="1">
        <v>-0.76500000000000001</v>
      </c>
      <c r="M11" s="1">
        <v>-0.28100000000000003</v>
      </c>
      <c r="N11" s="1">
        <v>49.223999999999997</v>
      </c>
      <c r="O11" s="1">
        <v>49.241</v>
      </c>
      <c r="P11" s="1">
        <v>52.619</v>
      </c>
      <c r="Q11" s="1">
        <v>2.149</v>
      </c>
      <c r="R11" s="1">
        <v>2.25</v>
      </c>
      <c r="S11" s="1">
        <f t="shared" si="0"/>
        <v>2.1995</v>
      </c>
      <c r="T11" s="1">
        <v>4.08</v>
      </c>
      <c r="U11" s="1">
        <v>4.0860000000000003</v>
      </c>
      <c r="V11" s="1">
        <f t="shared" si="1"/>
        <v>4.0830000000000002</v>
      </c>
      <c r="W11" s="1">
        <v>-2.782</v>
      </c>
      <c r="X11" t="e">
        <v>#NUM!</v>
      </c>
      <c r="Y11">
        <v>76.8</v>
      </c>
    </row>
    <row r="12" spans="1:25">
      <c r="A12" s="3">
        <v>43588</v>
      </c>
      <c r="B12" s="13">
        <v>0.3445023148148148</v>
      </c>
      <c r="C12" s="4" t="s">
        <v>27</v>
      </c>
      <c r="D12" s="7">
        <v>0.34406249999999999</v>
      </c>
      <c r="E12" s="7">
        <v>0.34437499999999999</v>
      </c>
      <c r="F12" s="7">
        <v>0.34486111111111112</v>
      </c>
      <c r="G12" s="7">
        <v>0.34567129629629628</v>
      </c>
      <c r="H12" s="1">
        <v>0.81499999999999995</v>
      </c>
      <c r="I12" s="1">
        <v>-0.42199999999999999</v>
      </c>
      <c r="J12" s="1">
        <v>-0.39400000000000002</v>
      </c>
      <c r="K12" s="1">
        <v>0.77</v>
      </c>
      <c r="L12" s="1">
        <v>-0.56299999999999994</v>
      </c>
      <c r="M12" s="1">
        <v>-0.29699999999999999</v>
      </c>
      <c r="N12" s="1">
        <v>95.201999999999998</v>
      </c>
      <c r="O12" s="1">
        <v>56.902000000000001</v>
      </c>
      <c r="P12" s="1">
        <v>6.601</v>
      </c>
      <c r="Q12" s="1">
        <v>2.04</v>
      </c>
      <c r="R12" s="1">
        <v>10.352</v>
      </c>
      <c r="S12" s="1">
        <f t="shared" si="0"/>
        <v>6.1959999999999997</v>
      </c>
      <c r="T12" s="1">
        <v>4.5209999999999999</v>
      </c>
      <c r="U12" s="1">
        <v>4.3659999999999997</v>
      </c>
      <c r="V12" s="1">
        <f t="shared" si="1"/>
        <v>4.4435000000000002</v>
      </c>
      <c r="W12" s="1">
        <v>-2.7469999999999999</v>
      </c>
      <c r="X12" t="e">
        <v>#NUM!</v>
      </c>
      <c r="Y12">
        <v>76.8</v>
      </c>
    </row>
    <row r="13" spans="1:25">
      <c r="A13" s="3">
        <v>43598</v>
      </c>
      <c r="B13" s="13">
        <v>0.55062500000000003</v>
      </c>
      <c r="C13" s="4" t="s">
        <v>28</v>
      </c>
      <c r="D13" s="7">
        <v>0.55138888888888893</v>
      </c>
      <c r="E13" s="7">
        <v>0.55103009259259261</v>
      </c>
      <c r="F13" s="7">
        <v>0.55032407407407402</v>
      </c>
      <c r="G13" s="7">
        <v>0.54971064814814818</v>
      </c>
      <c r="H13" s="1">
        <v>0.86399999999999999</v>
      </c>
      <c r="I13" s="1">
        <v>-0.502</v>
      </c>
      <c r="J13" s="1">
        <v>-1.4999999999999999E-2</v>
      </c>
      <c r="K13" s="1">
        <v>0.85</v>
      </c>
      <c r="L13" s="1">
        <v>-0.52400000000000002</v>
      </c>
      <c r="M13" s="1">
        <v>-4.2999999999999997E-2</v>
      </c>
      <c r="N13" s="1">
        <v>77.959000000000003</v>
      </c>
      <c r="O13" s="1">
        <v>73.287999999999997</v>
      </c>
      <c r="P13" s="1">
        <v>61.122999999999998</v>
      </c>
      <c r="Q13" s="1">
        <v>13.962999999999999</v>
      </c>
      <c r="R13" s="1">
        <v>14.132</v>
      </c>
      <c r="S13" s="1">
        <f t="shared" si="0"/>
        <v>14.047499999999999</v>
      </c>
      <c r="T13" s="1">
        <v>4.0819999999999999</v>
      </c>
      <c r="U13" s="1">
        <v>4.0170000000000003</v>
      </c>
      <c r="V13" s="1">
        <f t="shared" si="1"/>
        <v>4.0495000000000001</v>
      </c>
      <c r="W13" s="1">
        <v>-3.5089999999999999</v>
      </c>
      <c r="X13" t="e">
        <v>#NUM!</v>
      </c>
      <c r="Y13">
        <v>28.3</v>
      </c>
    </row>
    <row r="14" spans="1:25">
      <c r="A14" s="3">
        <v>43768</v>
      </c>
      <c r="B14" s="14">
        <v>0.27223379629629629</v>
      </c>
      <c r="C14" s="4" t="s">
        <v>27</v>
      </c>
      <c r="D14" s="7">
        <v>0.27135416666666667</v>
      </c>
      <c r="E14" s="7">
        <v>0.27179398148148148</v>
      </c>
      <c r="F14" s="7">
        <v>0.27255787037037038</v>
      </c>
      <c r="G14" s="7">
        <v>0.27300925925925928</v>
      </c>
      <c r="H14" s="1">
        <v>0.75</v>
      </c>
      <c r="I14" s="1">
        <v>-0.63800000000000001</v>
      </c>
      <c r="J14" s="1">
        <v>-0.16700000000000001</v>
      </c>
      <c r="K14" s="1">
        <v>0.73199999999999998</v>
      </c>
      <c r="L14" s="1">
        <v>0.61199999999999999</v>
      </c>
      <c r="M14" s="1">
        <v>0.29799999999999999</v>
      </c>
      <c r="N14" s="1">
        <v>26.678999999999998</v>
      </c>
      <c r="O14" s="1">
        <v>13.228999999999999</v>
      </c>
      <c r="P14" s="1">
        <v>1.389</v>
      </c>
      <c r="Q14" s="1">
        <v>49.351999999999997</v>
      </c>
      <c r="R14" s="1">
        <v>49.798000000000002</v>
      </c>
      <c r="S14" s="1">
        <f t="shared" si="0"/>
        <v>49.575000000000003</v>
      </c>
      <c r="T14" s="1">
        <v>2.9510000000000001</v>
      </c>
      <c r="U14" s="1">
        <v>2.794</v>
      </c>
      <c r="V14" s="1">
        <f t="shared" si="1"/>
        <v>2.8725000000000001</v>
      </c>
      <c r="W14" s="1">
        <v>-3.1989999999999998</v>
      </c>
      <c r="X14" t="e">
        <v>#NUM!</v>
      </c>
      <c r="Y14">
        <v>16.100000000000001</v>
      </c>
    </row>
    <row r="15" spans="1:25">
      <c r="A15" s="3">
        <v>43768</v>
      </c>
      <c r="B15" s="13">
        <v>0.53144675925925922</v>
      </c>
      <c r="C15" s="4" t="s">
        <v>28</v>
      </c>
      <c r="D15" s="7">
        <v>0.53206018518518516</v>
      </c>
      <c r="E15" s="7">
        <v>0.53162037037037035</v>
      </c>
      <c r="F15" s="7">
        <v>0.53126157407407404</v>
      </c>
      <c r="G15" s="7">
        <v>0.53096064814814814</v>
      </c>
      <c r="H15" s="1">
        <v>0.83099999999999996</v>
      </c>
      <c r="I15" s="1">
        <v>-0.21299999999999999</v>
      </c>
      <c r="J15" s="1">
        <v>-0.51200000000000001</v>
      </c>
      <c r="K15" s="1">
        <v>0.873</v>
      </c>
      <c r="L15" s="1">
        <v>0.30599999999999999</v>
      </c>
      <c r="M15" s="1">
        <v>0.379</v>
      </c>
      <c r="N15" s="1">
        <v>121.402</v>
      </c>
      <c r="O15" s="1">
        <v>128.78800000000001</v>
      </c>
      <c r="P15" s="1">
        <v>103.01900000000001</v>
      </c>
      <c r="Q15" s="1">
        <v>30.864000000000001</v>
      </c>
      <c r="R15" s="1">
        <v>32.185000000000002</v>
      </c>
      <c r="S15" s="1">
        <f t="shared" si="0"/>
        <v>31.524500000000003</v>
      </c>
      <c r="T15" s="1">
        <v>3.226</v>
      </c>
      <c r="U15" s="1">
        <v>3.359</v>
      </c>
      <c r="V15" s="1">
        <f t="shared" si="1"/>
        <v>3.2925</v>
      </c>
      <c r="W15" s="1">
        <v>-4.32</v>
      </c>
      <c r="X15" t="e">
        <v>#NUM!</v>
      </c>
      <c r="Y15">
        <v>21.4</v>
      </c>
    </row>
    <row r="16" spans="1:25">
      <c r="A16" s="3">
        <v>43936</v>
      </c>
      <c r="B16" s="13">
        <v>0.3759953703703704</v>
      </c>
      <c r="C16" s="4" t="s">
        <v>27</v>
      </c>
      <c r="D16" s="7">
        <v>0.37376157407407407</v>
      </c>
      <c r="E16" s="7">
        <v>0.375</v>
      </c>
      <c r="F16" s="7">
        <v>0.37636574074074075</v>
      </c>
      <c r="G16" s="7">
        <v>0.37721064814814814</v>
      </c>
      <c r="H16" s="1">
        <v>0.57999999999999996</v>
      </c>
      <c r="I16" s="1">
        <v>-0.746</v>
      </c>
      <c r="J16" s="1">
        <v>0.32400000000000001</v>
      </c>
      <c r="K16" s="1">
        <v>0.56000000000000005</v>
      </c>
      <c r="L16" s="1">
        <v>-0.74199999999999999</v>
      </c>
      <c r="M16" s="1">
        <v>0.36699999999999999</v>
      </c>
      <c r="N16" s="1">
        <v>9.7769999999999992</v>
      </c>
      <c r="O16" s="1">
        <v>0.85499999999999998</v>
      </c>
      <c r="P16" s="1">
        <v>3.4089999999999998</v>
      </c>
      <c r="Q16" s="1">
        <v>55.862000000000002</v>
      </c>
      <c r="R16" s="1">
        <v>55.906999999999996</v>
      </c>
      <c r="S16" s="1">
        <f t="shared" si="0"/>
        <v>55.884500000000003</v>
      </c>
      <c r="T16" s="1">
        <v>5.0250000000000004</v>
      </c>
      <c r="U16" s="1">
        <v>4.8380000000000001</v>
      </c>
      <c r="V16" s="1">
        <f t="shared" si="1"/>
        <v>4.9314999999999998</v>
      </c>
      <c r="W16" s="1">
        <v>-2.2639999999999998</v>
      </c>
      <c r="X16" t="e">
        <v>#NUM!</v>
      </c>
      <c r="Y16">
        <v>76.8</v>
      </c>
    </row>
    <row r="17" spans="1:25">
      <c r="A17" s="3">
        <v>43936</v>
      </c>
      <c r="B17" s="13">
        <v>0.37083333333333335</v>
      </c>
      <c r="C17" s="4" t="s">
        <v>28</v>
      </c>
      <c r="D17" s="7">
        <v>0.37309027777777776</v>
      </c>
      <c r="E17" s="7">
        <v>0.37181712962962965</v>
      </c>
      <c r="F17" s="7">
        <v>0.37012731481481481</v>
      </c>
      <c r="G17" s="7">
        <v>0.36876157407407406</v>
      </c>
      <c r="H17" s="1">
        <v>0.83199999999999996</v>
      </c>
      <c r="I17" s="1">
        <v>-0.55200000000000005</v>
      </c>
      <c r="J17" s="1">
        <v>2.7E-2</v>
      </c>
      <c r="K17" s="1">
        <v>0.77600000000000002</v>
      </c>
      <c r="L17" s="1">
        <v>-0.60499999999999998</v>
      </c>
      <c r="M17" s="1">
        <v>0.17299999999999999</v>
      </c>
      <c r="N17" s="1">
        <v>48.082000000000001</v>
      </c>
      <c r="O17" s="1">
        <v>19.202000000000002</v>
      </c>
      <c r="P17" s="1">
        <v>15.675000000000001</v>
      </c>
      <c r="Q17" s="1">
        <v>42.917999999999999</v>
      </c>
      <c r="R17" s="1">
        <v>43.755000000000003</v>
      </c>
      <c r="S17" s="1">
        <f t="shared" si="0"/>
        <v>43.336500000000001</v>
      </c>
      <c r="T17" s="1">
        <v>6.5449999999999999</v>
      </c>
      <c r="U17" s="1">
        <v>6.1139999999999999</v>
      </c>
      <c r="V17" s="1">
        <f t="shared" si="1"/>
        <v>6.3294999999999995</v>
      </c>
      <c r="W17" s="1">
        <v>-2.9329999999999998</v>
      </c>
      <c r="X17" t="e">
        <v>#NUM!</v>
      </c>
      <c r="Y17">
        <v>153.69999999999999</v>
      </c>
    </row>
    <row r="18" spans="1:25">
      <c r="A18" s="3">
        <v>43956</v>
      </c>
      <c r="B18" s="12">
        <v>0.19975694444444445</v>
      </c>
      <c r="C18" s="4" t="s">
        <v>27</v>
      </c>
      <c r="D18" s="7">
        <v>0.1991087962962963</v>
      </c>
      <c r="E18" s="7">
        <v>0.19936342592592593</v>
      </c>
      <c r="F18" s="7">
        <v>0.20087962962962963</v>
      </c>
      <c r="G18" s="7">
        <v>0.20123842592592592</v>
      </c>
      <c r="H18" s="1">
        <v>0.51500000000000001</v>
      </c>
      <c r="I18" s="1">
        <v>-0.71399999999999997</v>
      </c>
      <c r="J18" s="1">
        <v>-0.47199999999999998</v>
      </c>
      <c r="K18" s="1">
        <v>0.61599999999999999</v>
      </c>
      <c r="L18" s="1">
        <v>-0.71099999999999997</v>
      </c>
      <c r="M18" s="1">
        <v>-0.33600000000000002</v>
      </c>
      <c r="N18" s="1">
        <v>36.271999999999998</v>
      </c>
      <c r="O18" s="1">
        <v>15.254</v>
      </c>
      <c r="P18" s="1">
        <v>1.4610000000000001</v>
      </c>
      <c r="Q18" s="1">
        <v>10.426</v>
      </c>
      <c r="R18" s="1">
        <v>14.221</v>
      </c>
      <c r="S18" s="1">
        <f t="shared" si="0"/>
        <v>12.323499999999999</v>
      </c>
      <c r="T18" s="1">
        <v>2.9929999999999999</v>
      </c>
      <c r="U18" s="1">
        <v>3.5339999999999998</v>
      </c>
      <c r="V18" s="1">
        <f t="shared" si="1"/>
        <v>3.2634999999999996</v>
      </c>
      <c r="W18" s="1">
        <v>-2.8519999999999999</v>
      </c>
      <c r="X18" s="1">
        <v>4.1180000000000003</v>
      </c>
      <c r="Y18">
        <v>28.3</v>
      </c>
    </row>
    <row r="19" spans="1:25">
      <c r="A19" s="3">
        <v>43956</v>
      </c>
      <c r="B19" s="13">
        <v>0.1973148148148148</v>
      </c>
      <c r="C19" s="4" t="s">
        <v>28</v>
      </c>
      <c r="D19" s="7">
        <v>0.19770833333333335</v>
      </c>
      <c r="E19" s="7">
        <v>0.19758101851851853</v>
      </c>
      <c r="F19" s="7">
        <v>0.19623842592592591</v>
      </c>
      <c r="G19" s="7">
        <v>0.19548611111111111</v>
      </c>
      <c r="H19" s="1">
        <v>0.70499999999999996</v>
      </c>
      <c r="I19" s="1">
        <v>-0.70499999999999996</v>
      </c>
      <c r="J19" s="1">
        <v>-5.8999999999999997E-2</v>
      </c>
      <c r="K19" s="1">
        <v>0.70899999999999996</v>
      </c>
      <c r="L19" s="1">
        <v>0.70299999999999996</v>
      </c>
      <c r="M19" s="1">
        <v>3.3000000000000002E-2</v>
      </c>
      <c r="N19" s="1">
        <v>16.146000000000001</v>
      </c>
      <c r="O19" s="1">
        <v>18.248000000000001</v>
      </c>
      <c r="P19" s="1">
        <v>281.10599999999999</v>
      </c>
      <c r="Q19" s="1">
        <v>20.847999999999999</v>
      </c>
      <c r="R19" s="1">
        <v>20.899000000000001</v>
      </c>
      <c r="S19" s="1">
        <f t="shared" si="0"/>
        <v>20.8735</v>
      </c>
      <c r="T19" s="1">
        <v>3.6059999999999999</v>
      </c>
      <c r="U19" s="1">
        <v>3.6469999999999998</v>
      </c>
      <c r="V19" s="1">
        <f t="shared" si="1"/>
        <v>3.6265000000000001</v>
      </c>
      <c r="W19" s="1">
        <v>-3.242</v>
      </c>
      <c r="X19" s="1">
        <v>4.4969999999999999</v>
      </c>
      <c r="Y19">
        <v>28.3</v>
      </c>
    </row>
    <row r="20" spans="1:25">
      <c r="A20" s="3">
        <v>43966</v>
      </c>
      <c r="B20" s="13">
        <v>0.52353009259259264</v>
      </c>
      <c r="C20" s="4" t="s">
        <v>27</v>
      </c>
      <c r="D20" s="7">
        <v>0.5213888888888889</v>
      </c>
      <c r="E20" s="7">
        <v>0.5226736111111111</v>
      </c>
      <c r="F20" s="7">
        <v>0.52486111111111111</v>
      </c>
      <c r="G20" s="7">
        <v>0.52550925925925929</v>
      </c>
      <c r="H20" s="1">
        <v>0.32400000000000001</v>
      </c>
      <c r="I20" s="1">
        <v>0.81200000000000006</v>
      </c>
      <c r="J20" s="1">
        <v>0.48499999999999999</v>
      </c>
      <c r="K20" s="1">
        <v>0.55900000000000005</v>
      </c>
      <c r="L20" s="1">
        <v>-0.77900000000000003</v>
      </c>
      <c r="M20" s="1">
        <v>-0.28000000000000003</v>
      </c>
      <c r="N20" s="1">
        <v>74.944999999999993</v>
      </c>
      <c r="O20" s="1">
        <v>20.533999999999999</v>
      </c>
      <c r="P20" s="1">
        <v>19.538</v>
      </c>
      <c r="Q20" s="1">
        <v>22.984000000000002</v>
      </c>
      <c r="R20" s="1">
        <v>28.870999999999999</v>
      </c>
      <c r="S20" s="1">
        <f t="shared" si="0"/>
        <v>25.927500000000002</v>
      </c>
      <c r="T20" s="1">
        <v>1.7230000000000001</v>
      </c>
      <c r="U20" s="1">
        <v>2.9529999999999998</v>
      </c>
      <c r="V20" s="1">
        <f t="shared" si="1"/>
        <v>2.3380000000000001</v>
      </c>
      <c r="W20" s="1">
        <v>-4.3499999999999996</v>
      </c>
      <c r="X20" t="e">
        <v>#NUM!</v>
      </c>
      <c r="Y20">
        <v>21.4</v>
      </c>
    </row>
    <row r="21" spans="1:25">
      <c r="A21" s="3">
        <v>43970</v>
      </c>
      <c r="B21" s="4">
        <v>9.3344907407407404E-2</v>
      </c>
      <c r="C21" s="4" t="s">
        <v>27</v>
      </c>
      <c r="D21" s="7">
        <v>9.0300925925925923E-2</v>
      </c>
      <c r="E21" s="7">
        <v>9.1099537037037034E-2</v>
      </c>
      <c r="F21" s="7">
        <v>9.3506944444444448E-2</v>
      </c>
      <c r="G21" s="7">
        <v>9.3842592592592589E-2</v>
      </c>
      <c r="H21" s="1">
        <v>0.58699999999999997</v>
      </c>
      <c r="I21" s="1">
        <v>-0.80500000000000005</v>
      </c>
      <c r="J21" s="1">
        <v>7.4999999999999997E-2</v>
      </c>
      <c r="K21" s="1">
        <v>0.65100000000000002</v>
      </c>
      <c r="L21" s="1">
        <v>-0.75800000000000001</v>
      </c>
      <c r="M21" s="1">
        <v>3.2000000000000001E-2</v>
      </c>
      <c r="N21" s="1">
        <v>10.31</v>
      </c>
      <c r="O21" s="1">
        <v>9.7729999999999997</v>
      </c>
      <c r="P21" s="1">
        <v>32.396999999999998</v>
      </c>
      <c r="Q21" s="1">
        <v>25.029</v>
      </c>
      <c r="R21" s="1">
        <v>25.524000000000001</v>
      </c>
      <c r="S21" s="1">
        <f t="shared" si="0"/>
        <v>25.276499999999999</v>
      </c>
      <c r="T21" s="1">
        <v>2.7959999999999998</v>
      </c>
      <c r="U21" s="1">
        <v>3.133</v>
      </c>
      <c r="V21" s="1">
        <f t="shared" si="1"/>
        <v>2.9645000000000001</v>
      </c>
      <c r="W21" s="1">
        <v>-4.0471000000000004</v>
      </c>
      <c r="X21" t="e">
        <v>#NUM!</v>
      </c>
      <c r="Y21">
        <v>28.3</v>
      </c>
    </row>
    <row r="22" spans="1:25">
      <c r="A22" s="3">
        <v>43970</v>
      </c>
      <c r="B22" s="13">
        <v>3.1215277777777779E-2</v>
      </c>
      <c r="C22" s="4" t="s">
        <v>28</v>
      </c>
      <c r="D22" s="7">
        <v>3.2430555555555553E-2</v>
      </c>
      <c r="E22" s="7">
        <v>3.1770833333333331E-2</v>
      </c>
      <c r="F22" s="7">
        <v>3.0810185185185184E-2</v>
      </c>
      <c r="G22" s="7">
        <v>2.974537037037037E-2</v>
      </c>
      <c r="H22" s="1">
        <v>0.74199999999999999</v>
      </c>
      <c r="I22" s="1">
        <v>-0.66900000000000004</v>
      </c>
      <c r="J22" s="1">
        <v>0.02</v>
      </c>
      <c r="K22" s="1">
        <v>0.73599999999999999</v>
      </c>
      <c r="L22" s="1">
        <v>-0.67600000000000005</v>
      </c>
      <c r="M22" s="1">
        <v>1.7999999999999999E-2</v>
      </c>
      <c r="N22" s="1">
        <v>55.52</v>
      </c>
      <c r="O22" s="1">
        <v>53.42</v>
      </c>
      <c r="P22" s="1">
        <v>67.718000000000004</v>
      </c>
      <c r="Q22" s="1">
        <v>22.829000000000001</v>
      </c>
      <c r="R22" s="1">
        <v>22.835000000000001</v>
      </c>
      <c r="S22" s="1">
        <f t="shared" si="0"/>
        <v>22.832000000000001</v>
      </c>
      <c r="T22" s="1">
        <v>4.7649999999999997</v>
      </c>
      <c r="U22" s="1">
        <v>4.7240000000000002</v>
      </c>
      <c r="V22" s="1">
        <f t="shared" si="1"/>
        <v>4.7445000000000004</v>
      </c>
      <c r="W22" s="1">
        <v>-2.5760000000000001</v>
      </c>
      <c r="X22" t="e">
        <v>#NUM!</v>
      </c>
      <c r="Y22">
        <v>9.1999999999999993</v>
      </c>
    </row>
    <row r="23" spans="1:25">
      <c r="A23" s="3">
        <v>43976</v>
      </c>
      <c r="B23" s="13">
        <v>0.97974537037037035</v>
      </c>
      <c r="C23" s="4" t="s">
        <v>27</v>
      </c>
      <c r="D23" s="7">
        <v>0.97734953703703709</v>
      </c>
      <c r="E23" s="7">
        <v>0.97810185185185183</v>
      </c>
      <c r="F23" s="7">
        <v>0.9808796296296296</v>
      </c>
      <c r="G23" s="7">
        <v>0.98170138888888892</v>
      </c>
      <c r="H23" s="1">
        <v>0.32300000000000001</v>
      </c>
      <c r="I23" s="1">
        <v>0.81799999999999995</v>
      </c>
      <c r="J23" s="1">
        <v>0.47299999999999998</v>
      </c>
      <c r="K23" s="1">
        <v>0.21199999999999999</v>
      </c>
      <c r="L23" s="1">
        <v>0.751</v>
      </c>
      <c r="M23" s="1">
        <v>0.624</v>
      </c>
      <c r="N23" s="1">
        <v>214.691</v>
      </c>
      <c r="O23" s="1">
        <v>199.857</v>
      </c>
      <c r="P23" s="1">
        <v>360.08</v>
      </c>
      <c r="Q23" s="1">
        <v>36.709000000000003</v>
      </c>
      <c r="R23" s="1">
        <v>38.207999999999998</v>
      </c>
      <c r="S23" s="1">
        <f t="shared" si="0"/>
        <v>37.458500000000001</v>
      </c>
      <c r="T23" s="1">
        <v>6.4690000000000003</v>
      </c>
      <c r="U23" s="1">
        <v>3.774</v>
      </c>
      <c r="V23" s="1">
        <f t="shared" si="1"/>
        <v>5.1215000000000002</v>
      </c>
      <c r="W23" s="1">
        <v>-3.0750000000000002</v>
      </c>
      <c r="X23" t="e">
        <v>#NUM!</v>
      </c>
      <c r="Y23">
        <v>57.9</v>
      </c>
    </row>
    <row r="24" spans="1:25">
      <c r="A24" s="3">
        <v>44147</v>
      </c>
      <c r="B24" s="13">
        <v>0.53980324074074071</v>
      </c>
      <c r="C24" s="4" t="s">
        <v>27</v>
      </c>
      <c r="D24" s="7">
        <v>0.53938657407407409</v>
      </c>
      <c r="E24" s="7">
        <v>0.53968749999999999</v>
      </c>
      <c r="F24" s="7">
        <v>0.54015046296296299</v>
      </c>
      <c r="G24" s="7">
        <v>0.54123842592592597</v>
      </c>
      <c r="H24" s="1">
        <v>0.26100000000000001</v>
      </c>
      <c r="I24" s="1">
        <v>-0.90600000000000003</v>
      </c>
      <c r="J24" s="1">
        <v>-0.32900000000000001</v>
      </c>
      <c r="K24" s="1">
        <v>0.53</v>
      </c>
      <c r="L24" s="1">
        <v>0.84399999999999997</v>
      </c>
      <c r="M24" s="1">
        <v>-7.0999999999999994E-2</v>
      </c>
      <c r="N24" s="1">
        <v>137.08500000000001</v>
      </c>
      <c r="O24" s="1">
        <v>78.891000000000005</v>
      </c>
      <c r="P24" s="1">
        <v>87.935000000000002</v>
      </c>
      <c r="Q24" s="1">
        <v>62.369</v>
      </c>
      <c r="R24" s="1">
        <v>65.869</v>
      </c>
      <c r="S24" s="1">
        <f t="shared" si="0"/>
        <v>64.119</v>
      </c>
      <c r="T24" s="1">
        <v>1.496</v>
      </c>
      <c r="U24" s="1">
        <v>3.7360000000000002</v>
      </c>
      <c r="V24" s="1">
        <f t="shared" si="1"/>
        <v>2.6160000000000001</v>
      </c>
      <c r="W24" s="1">
        <v>-3.1909999999999998</v>
      </c>
      <c r="X24" t="e">
        <v>#NUM!</v>
      </c>
      <c r="Y24">
        <v>12.2</v>
      </c>
    </row>
    <row r="25" spans="1:25">
      <c r="A25" s="3">
        <v>44147</v>
      </c>
      <c r="B25" s="13">
        <v>0.48942129629629627</v>
      </c>
      <c r="C25" s="4" t="s">
        <v>27</v>
      </c>
      <c r="D25" s="7">
        <v>0.48907407407407405</v>
      </c>
      <c r="E25" s="7">
        <v>0.48920138888888887</v>
      </c>
      <c r="F25" s="7">
        <v>0.49024305555555553</v>
      </c>
      <c r="G25" s="7">
        <v>0.49092592592592593</v>
      </c>
      <c r="H25" s="1">
        <v>0.80600000000000005</v>
      </c>
      <c r="I25" s="1">
        <v>-0.59</v>
      </c>
      <c r="J25" s="1">
        <v>7.0000000000000001E-3</v>
      </c>
      <c r="K25" s="1">
        <v>0.71399999999999997</v>
      </c>
      <c r="L25" s="1">
        <v>0.69499999999999995</v>
      </c>
      <c r="M25" s="1">
        <v>7.4999999999999997E-2</v>
      </c>
      <c r="N25" s="1">
        <v>48.603999999999999</v>
      </c>
      <c r="O25" s="1">
        <v>6.766</v>
      </c>
      <c r="P25" s="1">
        <v>15.726000000000001</v>
      </c>
      <c r="Q25" s="1">
        <v>86.927000000000007</v>
      </c>
      <c r="R25" s="1">
        <v>86.966999999999999</v>
      </c>
      <c r="S25" s="1">
        <f t="shared" si="0"/>
        <v>86.947000000000003</v>
      </c>
      <c r="T25" s="1">
        <v>6.6239999999999997</v>
      </c>
      <c r="U25" s="1">
        <v>5.6890000000000001</v>
      </c>
      <c r="V25" s="1">
        <f t="shared" si="1"/>
        <v>6.1564999999999994</v>
      </c>
      <c r="W25" s="1">
        <v>-6.0890000000000004</v>
      </c>
      <c r="X25" t="e">
        <v>#NUM!</v>
      </c>
      <c r="Y25">
        <v>12.2</v>
      </c>
    </row>
    <row r="26" spans="1:25">
      <c r="A26" s="3">
        <v>44147</v>
      </c>
      <c r="B26" s="13">
        <v>0.53476851851851848</v>
      </c>
      <c r="C26" s="4" t="s">
        <v>28</v>
      </c>
      <c r="D26" s="7">
        <v>0.53716435185185185</v>
      </c>
      <c r="E26" s="7">
        <v>0.53658564814814813</v>
      </c>
      <c r="F26" s="7">
        <v>0.53464120370370372</v>
      </c>
      <c r="G26" s="7">
        <v>0.53416666666666668</v>
      </c>
      <c r="H26" s="1">
        <v>0.28599999999999998</v>
      </c>
      <c r="I26" s="1">
        <v>-0.69299999999999995</v>
      </c>
      <c r="J26" s="1">
        <v>-0.66</v>
      </c>
      <c r="K26" s="1">
        <v>0.80100000000000005</v>
      </c>
      <c r="L26" s="1">
        <v>0.58699999999999997</v>
      </c>
      <c r="M26" s="1">
        <v>0.113</v>
      </c>
      <c r="N26" s="1">
        <v>62.750999999999998</v>
      </c>
      <c r="O26" s="1">
        <v>53.46</v>
      </c>
      <c r="P26" s="1">
        <v>-50.982999999999997</v>
      </c>
      <c r="Q26" s="1">
        <v>77.62</v>
      </c>
      <c r="R26" s="1">
        <v>81.215999999999994</v>
      </c>
      <c r="S26" s="1">
        <f t="shared" si="0"/>
        <v>79.418000000000006</v>
      </c>
      <c r="T26" s="1">
        <v>2.2360000000000002</v>
      </c>
      <c r="U26" s="1">
        <v>6.6369999999999996</v>
      </c>
      <c r="V26" s="1">
        <f t="shared" si="1"/>
        <v>4.4364999999999997</v>
      </c>
      <c r="W26" s="1">
        <v>-5.6390000000000002</v>
      </c>
      <c r="X26" t="e">
        <v>#NUM!</v>
      </c>
      <c r="Y26">
        <v>16.100000000000001</v>
      </c>
    </row>
    <row r="27" spans="1:25">
      <c r="A27" s="3">
        <v>44156</v>
      </c>
      <c r="B27" s="8">
        <v>0.73197916666666663</v>
      </c>
      <c r="C27" s="6" t="s">
        <v>27</v>
      </c>
      <c r="D27" s="5">
        <v>0.72881944444444446</v>
      </c>
      <c r="E27" s="5">
        <v>0.73124999999999996</v>
      </c>
      <c r="F27" s="5">
        <v>0.73252314814814812</v>
      </c>
      <c r="G27" s="5">
        <v>0.73472222222222228</v>
      </c>
      <c r="H27" s="1">
        <v>0.69399999999999995</v>
      </c>
      <c r="I27" s="1">
        <v>-0.68400000000000005</v>
      </c>
      <c r="J27" s="1">
        <v>0.223</v>
      </c>
      <c r="K27" s="1">
        <v>0.83399999999999996</v>
      </c>
      <c r="L27" s="1">
        <v>0.52300000000000002</v>
      </c>
      <c r="M27" s="1">
        <v>0.16900000000000001</v>
      </c>
      <c r="N27" s="1">
        <v>28.972999999999999</v>
      </c>
      <c r="O27" s="1">
        <v>11.084</v>
      </c>
      <c r="P27" s="1">
        <v>15.896000000000001</v>
      </c>
      <c r="Q27" s="1">
        <v>57.093000000000004</v>
      </c>
      <c r="R27" s="1">
        <v>57.204000000000001</v>
      </c>
      <c r="S27" s="1">
        <f t="shared" si="0"/>
        <v>57.148499999999999</v>
      </c>
      <c r="T27" s="1">
        <v>2.58</v>
      </c>
      <c r="U27" s="1">
        <v>3.1440000000000001</v>
      </c>
      <c r="V27" s="1">
        <f t="shared" si="1"/>
        <v>2.8620000000000001</v>
      </c>
      <c r="W27" s="1">
        <v>-2.6579999999999999</v>
      </c>
      <c r="X27" s="1">
        <v>3.5</v>
      </c>
      <c r="Y27">
        <v>9.1999999999999993</v>
      </c>
    </row>
    <row r="28" spans="1:25">
      <c r="A28" s="3">
        <v>44156</v>
      </c>
      <c r="B28" s="8">
        <v>0.75585648148148143</v>
      </c>
      <c r="C28" s="6" t="s">
        <v>28</v>
      </c>
      <c r="D28" s="7">
        <v>0.75798611111111114</v>
      </c>
      <c r="E28" s="7">
        <v>0.75635416666666666</v>
      </c>
      <c r="F28" s="7">
        <v>0.75545138888888885</v>
      </c>
      <c r="G28" s="7">
        <v>0.75424768518518515</v>
      </c>
      <c r="H28" s="1">
        <v>0.74199999999999999</v>
      </c>
      <c r="I28" s="1">
        <v>-0.66800000000000004</v>
      </c>
      <c r="J28" s="1">
        <v>-4.6699999999999998E-2</v>
      </c>
      <c r="K28" s="1">
        <v>0.85</v>
      </c>
      <c r="L28" s="1">
        <v>0.503</v>
      </c>
      <c r="M28" s="1">
        <v>0.151</v>
      </c>
      <c r="N28" s="1">
        <v>-45.587000000000003</v>
      </c>
      <c r="O28" s="1">
        <v>-13.491</v>
      </c>
      <c r="P28" s="1">
        <v>4.1120000000000001</v>
      </c>
      <c r="Q28" s="1">
        <v>56.585999999999999</v>
      </c>
      <c r="R28" s="1">
        <v>57.524000000000001</v>
      </c>
      <c r="S28" s="1">
        <f t="shared" si="0"/>
        <v>57.055</v>
      </c>
      <c r="T28" s="1">
        <v>3.1789999999999998</v>
      </c>
      <c r="U28" s="1">
        <v>3.673</v>
      </c>
      <c r="V28" s="1">
        <f t="shared" si="1"/>
        <v>3.4260000000000002</v>
      </c>
      <c r="W28" s="1">
        <v>-2.7309999999999999</v>
      </c>
      <c r="X28" s="1">
        <v>3.1</v>
      </c>
      <c r="Y28">
        <v>21.4</v>
      </c>
    </row>
    <row r="29" spans="1:25" ht="14.25" customHeight="1">
      <c r="A29" s="3">
        <v>44229</v>
      </c>
      <c r="B29" s="8">
        <v>0.21807870370370369</v>
      </c>
      <c r="C29" s="6" t="s">
        <v>27</v>
      </c>
      <c r="D29" s="7">
        <v>0.21774305555555556</v>
      </c>
      <c r="E29" s="7">
        <v>0.2179976851851852</v>
      </c>
      <c r="F29" s="7">
        <v>0.21817129629629631</v>
      </c>
      <c r="G29" s="7">
        <v>0.21841435185185185</v>
      </c>
      <c r="H29" s="1">
        <v>0.98499999999999999</v>
      </c>
      <c r="I29" s="1">
        <v>0.16950000000000001</v>
      </c>
      <c r="J29" s="1">
        <v>-1.21E-2</v>
      </c>
      <c r="K29" s="1">
        <v>0.96</v>
      </c>
      <c r="L29" s="1">
        <v>0.17</v>
      </c>
      <c r="M29" s="1">
        <v>-0.22</v>
      </c>
      <c r="N29" s="1">
        <v>38.756999999999998</v>
      </c>
      <c r="O29" s="1">
        <v>20.771000000000001</v>
      </c>
      <c r="P29" s="1">
        <v>54.908999999999999</v>
      </c>
      <c r="Q29" s="1">
        <v>76.016999999999996</v>
      </c>
      <c r="R29" s="1">
        <v>76.33</v>
      </c>
      <c r="S29" s="1">
        <f t="shared" si="0"/>
        <v>76.17349999999999</v>
      </c>
      <c r="T29" s="1">
        <v>2.6890000000000001</v>
      </c>
      <c r="U29" s="1">
        <v>2.6259999999999999</v>
      </c>
      <c r="V29" s="1">
        <f t="shared" si="1"/>
        <v>2.6574999999999998</v>
      </c>
      <c r="W29" s="1">
        <v>-7.1369999999999996</v>
      </c>
      <c r="X29" s="1">
        <v>3.528</v>
      </c>
      <c r="Y29" s="1">
        <v>16.100000000000001</v>
      </c>
    </row>
    <row r="30" spans="1:25">
      <c r="A30" s="3">
        <v>44595</v>
      </c>
      <c r="B30" s="11">
        <v>0.29351851851851851</v>
      </c>
      <c r="C30" s="4" t="s">
        <v>27</v>
      </c>
      <c r="D30" s="7">
        <v>0.29197916666666668</v>
      </c>
      <c r="E30" s="7">
        <v>0.29266203703703703</v>
      </c>
      <c r="F30" s="7">
        <v>0.29383101851851851</v>
      </c>
      <c r="G30" s="7">
        <v>0.29495370370370372</v>
      </c>
      <c r="H30" s="1">
        <v>0.95699999999999996</v>
      </c>
      <c r="I30" s="1">
        <v>7.4800000000000005E-2</v>
      </c>
      <c r="J30" s="1">
        <v>-0.27900000000000003</v>
      </c>
      <c r="K30" s="1">
        <v>0.95399999999999996</v>
      </c>
      <c r="L30" s="1">
        <v>-6.1199999999999997E-2</v>
      </c>
      <c r="M30" s="1">
        <v>0.29299999999999998</v>
      </c>
      <c r="N30" s="1">
        <v>15.871</v>
      </c>
      <c r="O30" s="1">
        <v>14.919</v>
      </c>
      <c r="P30" s="1">
        <v>58.631</v>
      </c>
      <c r="Q30" s="1">
        <v>56.62</v>
      </c>
      <c r="R30" s="1">
        <v>56.627000000000002</v>
      </c>
      <c r="S30" s="1">
        <f t="shared" si="0"/>
        <v>56.6235</v>
      </c>
      <c r="T30" s="1">
        <v>1.5980000000000001</v>
      </c>
      <c r="U30" s="1">
        <v>1.595</v>
      </c>
      <c r="V30" s="1">
        <f t="shared" si="1"/>
        <v>1.5965</v>
      </c>
      <c r="W30" s="1">
        <v>-3.153</v>
      </c>
      <c r="X30" s="1">
        <v>2.665</v>
      </c>
      <c r="Y30" s="1">
        <v>76.8</v>
      </c>
    </row>
    <row r="31" spans="1:25">
      <c r="A31" s="3">
        <v>44595</v>
      </c>
      <c r="B31" s="10">
        <v>0.3420023148148148</v>
      </c>
      <c r="C31" s="4" t="s">
        <v>27</v>
      </c>
      <c r="D31" s="7">
        <v>0.3404861111111111</v>
      </c>
      <c r="E31" s="7">
        <v>0.3417013888888889</v>
      </c>
      <c r="F31" s="7">
        <v>0.34217592592592594</v>
      </c>
      <c r="G31" s="7">
        <v>0.34305555555555556</v>
      </c>
      <c r="H31" s="1">
        <v>0.91</v>
      </c>
      <c r="I31" s="1">
        <v>-0.307</v>
      </c>
      <c r="J31" s="1">
        <v>-0.27700000000000002</v>
      </c>
      <c r="K31" s="1">
        <v>0.97099999999999997</v>
      </c>
      <c r="L31" s="1">
        <v>-6.2E-2</v>
      </c>
      <c r="M31" s="1">
        <v>0.23019999999999999</v>
      </c>
      <c r="N31" s="1">
        <v>60.927999999999997</v>
      </c>
      <c r="O31" s="1">
        <v>82.257000000000005</v>
      </c>
      <c r="P31" s="1">
        <v>74.53</v>
      </c>
      <c r="Q31" s="1">
        <v>52.889000000000003</v>
      </c>
      <c r="R31" s="1">
        <v>55.924999999999997</v>
      </c>
      <c r="S31" s="1">
        <f t="shared" si="0"/>
        <v>54.406999999999996</v>
      </c>
      <c r="T31" s="1">
        <v>1.577</v>
      </c>
      <c r="U31" s="1">
        <v>1.6970000000000001</v>
      </c>
      <c r="V31" s="1">
        <f t="shared" si="1"/>
        <v>1.637</v>
      </c>
      <c r="W31" s="1">
        <v>-4.0289999999999999</v>
      </c>
      <c r="X31" s="1">
        <v>2.5339999999999998</v>
      </c>
      <c r="Y31" s="1">
        <v>273.2</v>
      </c>
    </row>
    <row r="32" spans="1:25">
      <c r="A32" s="3">
        <v>44595</v>
      </c>
      <c r="B32" s="6">
        <v>0.44976851851851851</v>
      </c>
      <c r="C32" s="4" t="s">
        <v>27</v>
      </c>
      <c r="D32" s="7">
        <v>0.44861111111111113</v>
      </c>
      <c r="E32" s="7">
        <v>0.44961805555555556</v>
      </c>
      <c r="F32" s="7">
        <v>0.45020833333333332</v>
      </c>
      <c r="G32" s="7">
        <v>0.45111111111111113</v>
      </c>
      <c r="H32" s="1">
        <v>0.13300000000000001</v>
      </c>
      <c r="I32" s="1">
        <v>0.45400000000000001</v>
      </c>
      <c r="J32" s="1">
        <v>-0.88</v>
      </c>
      <c r="K32" s="1">
        <v>0.97599999999999998</v>
      </c>
      <c r="L32" s="1">
        <v>-0.14599999999999999</v>
      </c>
      <c r="M32" s="1">
        <v>0.155</v>
      </c>
      <c r="N32" s="1">
        <v>50.64</v>
      </c>
      <c r="O32" s="1">
        <v>2.4039999999999999</v>
      </c>
      <c r="P32" s="1">
        <v>25.219000000000001</v>
      </c>
      <c r="Q32" s="1">
        <v>83.084999999999994</v>
      </c>
      <c r="R32" s="1">
        <v>87.697000000000003</v>
      </c>
      <c r="S32" s="1">
        <f t="shared" si="0"/>
        <v>85.390999999999991</v>
      </c>
      <c r="T32" s="1">
        <v>0.48099999999999998</v>
      </c>
      <c r="U32" s="1">
        <v>2.0299999999999998</v>
      </c>
      <c r="V32" s="1">
        <f t="shared" si="1"/>
        <v>1.2554999999999998</v>
      </c>
      <c r="W32" s="1">
        <v>-5.6</v>
      </c>
      <c r="X32" s="1">
        <v>2.4729999999999999</v>
      </c>
      <c r="Y32" s="1">
        <v>21.4</v>
      </c>
    </row>
    <row r="33" spans="1:25">
      <c r="A33" s="3">
        <v>44595</v>
      </c>
      <c r="B33" s="6">
        <v>0.37353009259259257</v>
      </c>
      <c r="C33" s="4" t="s">
        <v>27</v>
      </c>
      <c r="D33" s="7">
        <v>0.37187500000000001</v>
      </c>
      <c r="E33" s="7">
        <v>0.37290509259259258</v>
      </c>
      <c r="F33" s="7">
        <v>0.37392361111111111</v>
      </c>
      <c r="G33" s="7">
        <v>0.37451388888888887</v>
      </c>
      <c r="H33" s="1">
        <v>0.92400000000000004</v>
      </c>
      <c r="I33" s="1">
        <v>0.311</v>
      </c>
      <c r="J33" s="1">
        <v>-0.22</v>
      </c>
      <c r="K33" s="1">
        <v>0.98399999999999999</v>
      </c>
      <c r="L33" s="1">
        <v>-9.4399999999999998E-2</v>
      </c>
      <c r="M33" s="1">
        <v>0.14599999999999999</v>
      </c>
      <c r="N33" s="1">
        <v>49.41</v>
      </c>
      <c r="O33" s="1">
        <v>44.826000000000001</v>
      </c>
      <c r="P33" s="1">
        <v>17.905999999999999</v>
      </c>
      <c r="Q33" s="1">
        <v>66.762</v>
      </c>
      <c r="R33" s="1">
        <v>67.453000000000003</v>
      </c>
      <c r="S33" s="1">
        <f t="shared" si="0"/>
        <v>67.107500000000002</v>
      </c>
      <c r="T33" s="1">
        <v>1.976</v>
      </c>
      <c r="U33" s="1">
        <v>2.0720000000000001</v>
      </c>
      <c r="V33" s="1">
        <f t="shared" si="1"/>
        <v>2.024</v>
      </c>
      <c r="W33" s="1">
        <v>-3.851</v>
      </c>
      <c r="X33" s="1">
        <v>2.5779999999999998</v>
      </c>
      <c r="Y33" s="1">
        <v>16.100000000000001</v>
      </c>
    </row>
    <row r="34" spans="1:25">
      <c r="A34" s="3">
        <v>44595</v>
      </c>
      <c r="B34" s="10">
        <v>0.3699884259259259</v>
      </c>
      <c r="C34" s="4" t="s">
        <v>28</v>
      </c>
      <c r="D34" s="7">
        <v>0.37152777777777779</v>
      </c>
      <c r="E34" s="7">
        <v>0.37048611111111113</v>
      </c>
      <c r="F34" s="7">
        <v>0.3697685185185185</v>
      </c>
      <c r="G34" s="7">
        <v>0.36914351851851851</v>
      </c>
      <c r="H34" s="1">
        <v>0.99199999999999999</v>
      </c>
      <c r="I34" s="1">
        <v>-5.0999999999999997E-2</v>
      </c>
      <c r="J34" s="1">
        <v>-0.109</v>
      </c>
      <c r="K34" s="1">
        <v>0.98599999999999999</v>
      </c>
      <c r="L34" s="1">
        <v>-9.1999999999999998E-2</v>
      </c>
      <c r="M34" s="1">
        <v>0.13500000000000001</v>
      </c>
      <c r="N34" s="1">
        <v>11.47</v>
      </c>
      <c r="O34" s="1">
        <v>16.082000000000001</v>
      </c>
      <c r="P34" s="1">
        <v>10.029999999999999</v>
      </c>
      <c r="Q34" s="1">
        <v>67.908000000000001</v>
      </c>
      <c r="R34" s="1">
        <v>68.156999999999996</v>
      </c>
      <c r="S34" s="1">
        <f t="shared" si="0"/>
        <v>68.032499999999999</v>
      </c>
      <c r="T34" s="1">
        <v>2.0739999999999998</v>
      </c>
      <c r="U34" s="1">
        <v>2.08</v>
      </c>
      <c r="V34" s="1">
        <f t="shared" si="1"/>
        <v>2.077</v>
      </c>
      <c r="W34" s="1">
        <v>-3.7080000000000002</v>
      </c>
      <c r="X34" s="1">
        <v>2.5680000000000001</v>
      </c>
      <c r="Y34" s="1">
        <v>16.100000000000001</v>
      </c>
    </row>
    <row r="35" spans="1:25">
      <c r="A35" s="3">
        <v>44595</v>
      </c>
      <c r="B35" s="6">
        <v>0.38978009259259261</v>
      </c>
      <c r="C35" s="4" t="s">
        <v>27</v>
      </c>
      <c r="D35" s="7">
        <v>0.38797453703703705</v>
      </c>
      <c r="E35" s="7">
        <v>0.38937500000000003</v>
      </c>
      <c r="F35" s="7">
        <v>0.39021990740740742</v>
      </c>
      <c r="G35" s="7">
        <v>0.39149305555555558</v>
      </c>
      <c r="H35" s="1">
        <v>0.99</v>
      </c>
      <c r="I35" s="1">
        <v>2.1999999999999999E-2</v>
      </c>
      <c r="J35" s="1">
        <v>-0.13200000000000001</v>
      </c>
      <c r="K35" s="1">
        <v>0.98</v>
      </c>
      <c r="L35" s="1">
        <v>-0.114</v>
      </c>
      <c r="M35" s="1">
        <v>0.159</v>
      </c>
      <c r="N35" s="1">
        <v>67.528999999999996</v>
      </c>
      <c r="O35" s="1">
        <v>72.88</v>
      </c>
      <c r="P35" s="1">
        <v>28.942</v>
      </c>
      <c r="Q35" s="1">
        <v>68.89</v>
      </c>
      <c r="R35" s="1">
        <v>68.992999999999995</v>
      </c>
      <c r="S35" s="1">
        <f t="shared" si="0"/>
        <v>68.941499999999991</v>
      </c>
      <c r="T35" s="1">
        <v>2.1219999999999999</v>
      </c>
      <c r="U35" s="1">
        <v>2.1110000000000002</v>
      </c>
      <c r="V35" s="1">
        <f t="shared" si="1"/>
        <v>2.1165000000000003</v>
      </c>
      <c r="W35" s="1">
        <v>-4.2430000000000003</v>
      </c>
      <c r="X35" s="1">
        <v>2.5249999999999999</v>
      </c>
      <c r="Y35" s="1">
        <v>21.4</v>
      </c>
    </row>
    <row r="36" spans="1:25">
      <c r="A36" s="3">
        <v>44595</v>
      </c>
      <c r="B36" s="6">
        <v>0.41702546296296295</v>
      </c>
      <c r="C36" s="4" t="s">
        <v>28</v>
      </c>
      <c r="D36" s="7">
        <v>0.41952546296296295</v>
      </c>
      <c r="E36" s="7">
        <v>0.41723379629629631</v>
      </c>
      <c r="F36" s="7">
        <v>0.41592592592592592</v>
      </c>
      <c r="G36" s="7">
        <v>0.4148263888888889</v>
      </c>
      <c r="H36" s="1">
        <v>0.93899999999999995</v>
      </c>
      <c r="I36" s="1">
        <v>0.29099999999999998</v>
      </c>
      <c r="J36" s="1">
        <v>-0.17699999999999999</v>
      </c>
      <c r="K36" s="1">
        <v>0.99299999999999999</v>
      </c>
      <c r="L36" s="1">
        <v>-0.106</v>
      </c>
      <c r="M36" s="1">
        <v>4.4999999999999998E-2</v>
      </c>
      <c r="N36" s="1">
        <v>21.081</v>
      </c>
      <c r="O36" s="1">
        <v>31.503</v>
      </c>
      <c r="P36" s="1">
        <v>8.7279999999999998</v>
      </c>
      <c r="Q36" s="1">
        <v>81.210999999999999</v>
      </c>
      <c r="R36" s="1">
        <v>81.453000000000003</v>
      </c>
      <c r="S36" s="1">
        <f t="shared" si="0"/>
        <v>81.331999999999994</v>
      </c>
      <c r="T36" s="1">
        <v>2.12</v>
      </c>
      <c r="U36" s="1">
        <v>2.2250000000000001</v>
      </c>
      <c r="V36" s="1">
        <f t="shared" si="1"/>
        <v>2.1725000000000003</v>
      </c>
      <c r="W36" s="1">
        <v>-7.4749999999999996</v>
      </c>
      <c r="X36" s="1">
        <v>2.4500000000000002</v>
      </c>
      <c r="Y36" s="1">
        <v>16.100000000000001</v>
      </c>
    </row>
    <row r="37" spans="1:25">
      <c r="A37" s="3">
        <v>44595</v>
      </c>
      <c r="B37" s="8">
        <v>0.23027777777777778</v>
      </c>
      <c r="C37" s="4" t="s">
        <v>27</v>
      </c>
      <c r="D37" s="7">
        <v>0.22847222222222222</v>
      </c>
      <c r="E37" s="7">
        <v>0.22997685185185185</v>
      </c>
      <c r="F37" s="7">
        <v>0.23050925925925925</v>
      </c>
      <c r="G37" s="7">
        <v>0.23145833333333332</v>
      </c>
      <c r="H37" s="1">
        <v>0.874</v>
      </c>
      <c r="I37" s="1">
        <v>5.0000000000000001E-3</v>
      </c>
      <c r="J37" s="1">
        <v>-0.48399999999999999</v>
      </c>
      <c r="K37" s="1">
        <v>0.95399999999999996</v>
      </c>
      <c r="L37" s="1">
        <v>-0.153</v>
      </c>
      <c r="M37" s="1">
        <v>0.255</v>
      </c>
      <c r="N37" s="1">
        <v>20.177</v>
      </c>
      <c r="O37" s="1">
        <v>23.529</v>
      </c>
      <c r="P37" s="1">
        <v>21.536999999999999</v>
      </c>
      <c r="Q37" s="1">
        <v>48.037999999999997</v>
      </c>
      <c r="R37" s="1">
        <v>50.091999999999999</v>
      </c>
      <c r="S37" s="1">
        <f t="shared" si="0"/>
        <v>49.064999999999998</v>
      </c>
      <c r="T37" s="1">
        <v>2.1920000000000002</v>
      </c>
      <c r="U37" s="1">
        <v>2.3250000000000002</v>
      </c>
      <c r="V37" s="1">
        <f t="shared" si="1"/>
        <v>2.2585000000000002</v>
      </c>
      <c r="W37" s="1">
        <v>-4.8209999999999997</v>
      </c>
      <c r="X37" s="1">
        <v>3.0150000000000001</v>
      </c>
      <c r="Y37" s="1">
        <v>28.3</v>
      </c>
    </row>
    <row r="38" spans="1:25">
      <c r="A38" s="3">
        <v>44665</v>
      </c>
      <c r="B38" s="6">
        <v>0.79879629629629634</v>
      </c>
      <c r="C38" s="4" t="s">
        <v>27</v>
      </c>
      <c r="D38" s="7">
        <v>0.79780092592592589</v>
      </c>
      <c r="E38" s="7">
        <v>0.79855324074074074</v>
      </c>
      <c r="F38" s="7">
        <v>0.79895833333333333</v>
      </c>
      <c r="G38" s="7">
        <v>0.79928240740740741</v>
      </c>
      <c r="H38" s="1">
        <v>0.78600000000000003</v>
      </c>
      <c r="I38" s="1">
        <v>-0.59699999999999998</v>
      </c>
      <c r="J38" s="1">
        <v>-0.156</v>
      </c>
      <c r="K38" s="1">
        <v>0.79</v>
      </c>
      <c r="L38" s="1">
        <v>-0.59299999999999997</v>
      </c>
      <c r="M38" s="1">
        <v>-0.151</v>
      </c>
      <c r="N38" s="1">
        <v>46.353000000000002</v>
      </c>
      <c r="O38" s="1">
        <v>44.473999999999997</v>
      </c>
      <c r="P38" s="1">
        <v>52.406999999999996</v>
      </c>
      <c r="Q38" s="1">
        <v>40.576999999999998</v>
      </c>
      <c r="R38" s="1">
        <v>40.579000000000001</v>
      </c>
      <c r="S38" s="1">
        <f t="shared" si="0"/>
        <v>40.578000000000003</v>
      </c>
      <c r="T38" s="1">
        <v>2.06</v>
      </c>
      <c r="U38" s="1">
        <v>2.0699999999999998</v>
      </c>
      <c r="V38" s="1">
        <f t="shared" si="1"/>
        <v>2.0649999999999999</v>
      </c>
      <c r="W38" s="1">
        <v>-4.1920000000000002</v>
      </c>
      <c r="X38" s="1">
        <v>2.819</v>
      </c>
      <c r="Y38" s="1">
        <v>16.100000000000001</v>
      </c>
    </row>
    <row r="39" spans="1:25">
      <c r="A39" s="3">
        <v>44665</v>
      </c>
      <c r="B39" s="6">
        <v>0.80621527777777779</v>
      </c>
      <c r="C39" s="4" t="s">
        <v>28</v>
      </c>
      <c r="D39" s="7">
        <v>0.80696759259259254</v>
      </c>
      <c r="E39" s="7">
        <v>0.80650462962962965</v>
      </c>
      <c r="F39" s="7">
        <v>0.80609953703703707</v>
      </c>
      <c r="G39" s="7">
        <v>0.80576388888888884</v>
      </c>
      <c r="H39" s="1">
        <v>0.80400000000000005</v>
      </c>
      <c r="I39" s="1">
        <v>-0.59299999999999997</v>
      </c>
      <c r="J39" s="1">
        <v>-9.4999999999999998E-3</v>
      </c>
      <c r="K39" s="1">
        <v>0.80700000000000005</v>
      </c>
      <c r="L39" s="1">
        <v>-0.58950000000000002</v>
      </c>
      <c r="M39" s="1">
        <v>-3.0000000000000001E-3</v>
      </c>
      <c r="N39" s="1">
        <v>0.09</v>
      </c>
      <c r="O39" s="1">
        <v>1.466</v>
      </c>
      <c r="P39" s="1">
        <v>8.0839999999999996</v>
      </c>
      <c r="Q39" s="1">
        <v>44.325000000000003</v>
      </c>
      <c r="R39" s="1">
        <v>44.326999999999998</v>
      </c>
      <c r="S39" s="1">
        <f t="shared" si="0"/>
        <v>44.326000000000001</v>
      </c>
      <c r="T39" s="1">
        <v>2.3679999999999999</v>
      </c>
      <c r="U39" s="1">
        <v>2.3769999999999998</v>
      </c>
      <c r="V39" s="1">
        <f t="shared" si="1"/>
        <v>2.3724999999999996</v>
      </c>
      <c r="W39" s="1">
        <v>-3.7749999999999999</v>
      </c>
      <c r="X39" s="1">
        <v>2.8519999999999999</v>
      </c>
      <c r="Y39" s="1">
        <v>9.1999999999999993</v>
      </c>
    </row>
    <row r="40" spans="1:25">
      <c r="A40" s="3">
        <v>44665</v>
      </c>
      <c r="B40" s="9" t="s">
        <v>31</v>
      </c>
      <c r="C40" s="4" t="s">
        <v>28</v>
      </c>
      <c r="D40" s="7">
        <v>0.78924768518518518</v>
      </c>
      <c r="E40" s="7">
        <v>0.78822916666666665</v>
      </c>
      <c r="F40" s="7">
        <v>0.78773148148148153</v>
      </c>
      <c r="G40" s="7">
        <v>0.78716435185185185</v>
      </c>
      <c r="H40" s="1">
        <v>0.81569999999999998</v>
      </c>
      <c r="I40" s="1">
        <v>-0.57599999999999996</v>
      </c>
      <c r="J40" s="1">
        <v>-4.9700000000000001E-2</v>
      </c>
      <c r="K40" s="1">
        <v>0.81599999999999995</v>
      </c>
      <c r="L40" s="1">
        <v>-0.57499999999999996</v>
      </c>
      <c r="M40" s="1">
        <v>-4.8800000000000003E-2</v>
      </c>
      <c r="N40" s="1">
        <v>5.7270000000000003</v>
      </c>
      <c r="O40" s="1">
        <v>6.0229999999999997</v>
      </c>
      <c r="P40" s="1">
        <v>21.402999999999999</v>
      </c>
      <c r="Q40" s="1">
        <v>48.807000000000002</v>
      </c>
      <c r="R40" s="1">
        <v>48.807000000000002</v>
      </c>
      <c r="S40" s="1">
        <f t="shared" si="0"/>
        <v>48.807000000000002</v>
      </c>
      <c r="T40" s="1">
        <v>2.6539999999999999</v>
      </c>
      <c r="U40" s="1">
        <v>2.6560000000000001</v>
      </c>
      <c r="V40" s="1">
        <f t="shared" si="1"/>
        <v>2.6550000000000002</v>
      </c>
      <c r="W40" s="1">
        <v>-2.7530000000000001</v>
      </c>
      <c r="X40" s="1">
        <v>2.9460000000000002</v>
      </c>
      <c r="Y40" s="1">
        <v>9.1999999999999993</v>
      </c>
    </row>
    <row r="41" spans="1:25">
      <c r="A41" s="3">
        <v>44666</v>
      </c>
      <c r="B41" s="6">
        <v>0.10155092592592592</v>
      </c>
      <c r="C41" s="4" t="s">
        <v>27</v>
      </c>
      <c r="D41" s="7">
        <v>0.10076388888888889</v>
      </c>
      <c r="E41" s="7">
        <v>0.10127314814814815</v>
      </c>
      <c r="F41" s="7">
        <v>0.10170138888888888</v>
      </c>
      <c r="G41" s="7">
        <v>0.10236111111111111</v>
      </c>
      <c r="H41" s="1">
        <v>0.79700000000000004</v>
      </c>
      <c r="I41" s="1">
        <v>-0.56899999999999995</v>
      </c>
      <c r="J41" s="1">
        <v>0.19800000000000001</v>
      </c>
      <c r="K41" s="1">
        <v>0.79400000000000004</v>
      </c>
      <c r="L41" s="1">
        <v>-0.57199999999999995</v>
      </c>
      <c r="M41" s="1">
        <v>0.19900000000000001</v>
      </c>
      <c r="N41" s="1">
        <v>8.8840000000000003</v>
      </c>
      <c r="O41" s="1">
        <v>10.132</v>
      </c>
      <c r="P41" s="1">
        <v>17.266999999999999</v>
      </c>
      <c r="Q41" s="1">
        <v>21.936</v>
      </c>
      <c r="R41" s="1">
        <v>21.937999999999999</v>
      </c>
      <c r="S41" s="1">
        <f t="shared" si="0"/>
        <v>21.936999999999998</v>
      </c>
      <c r="T41" s="1">
        <v>1.583</v>
      </c>
      <c r="U41" s="1">
        <v>1.577</v>
      </c>
      <c r="V41" s="1">
        <f t="shared" si="1"/>
        <v>1.58</v>
      </c>
      <c r="W41" s="1">
        <v>-5.1390000000000002</v>
      </c>
      <c r="X41" s="1">
        <v>2.2200000000000002</v>
      </c>
      <c r="Y41" s="1">
        <v>16.100000000000001</v>
      </c>
    </row>
    <row r="42" spans="1:25">
      <c r="A42" s="3">
        <v>44915</v>
      </c>
      <c r="B42" s="6">
        <v>0.69716435185185188</v>
      </c>
      <c r="C42" s="4" t="s">
        <v>27</v>
      </c>
      <c r="D42" s="7">
        <v>0.6958333333333333</v>
      </c>
      <c r="E42" s="7">
        <v>0.69685185185185183</v>
      </c>
      <c r="F42" s="7">
        <v>0.69811342592592596</v>
      </c>
      <c r="G42" s="7">
        <v>0.69849537037037035</v>
      </c>
      <c r="H42" s="1">
        <v>0.94799999999999995</v>
      </c>
      <c r="I42" s="1">
        <v>0.185</v>
      </c>
      <c r="J42" s="1">
        <v>0.25800000000000001</v>
      </c>
      <c r="K42" s="1">
        <v>0.96399999999999997</v>
      </c>
      <c r="L42" s="1">
        <v>0.25900000000000001</v>
      </c>
      <c r="M42" s="1">
        <v>5.4100000000000002E-2</v>
      </c>
      <c r="N42" s="1">
        <v>13.762</v>
      </c>
      <c r="O42" s="1">
        <v>20.39</v>
      </c>
      <c r="P42" s="1">
        <v>27.948</v>
      </c>
      <c r="Q42" s="1">
        <v>70.876999999999995</v>
      </c>
      <c r="R42" s="1">
        <v>71.349999999999994</v>
      </c>
      <c r="S42" s="1">
        <f t="shared" si="0"/>
        <v>71.113499999999988</v>
      </c>
      <c r="T42" s="1">
        <v>1.8080000000000001</v>
      </c>
      <c r="U42" s="1">
        <v>1.8220000000000001</v>
      </c>
      <c r="V42" s="1">
        <f t="shared" si="1"/>
        <v>1.8149999999999999</v>
      </c>
      <c r="W42" s="1">
        <v>-3.3740000000000001</v>
      </c>
      <c r="X42" s="1">
        <v>2.3519999999999999</v>
      </c>
      <c r="Y42" s="1">
        <v>9.1999999999999993</v>
      </c>
    </row>
    <row r="43" spans="1:25">
      <c r="A43" s="3">
        <v>44918</v>
      </c>
      <c r="B43" s="6">
        <v>0.83922453703703703</v>
      </c>
      <c r="C43" s="4" t="s">
        <v>27</v>
      </c>
      <c r="D43" s="7">
        <v>0.83847222222222217</v>
      </c>
      <c r="E43" s="7">
        <v>0.83902777777777782</v>
      </c>
      <c r="F43" s="7">
        <v>0.8394328703703704</v>
      </c>
      <c r="G43" s="7">
        <v>0.84128472222222217</v>
      </c>
      <c r="H43" s="1">
        <v>0.94899999999999995</v>
      </c>
      <c r="I43" s="1">
        <v>-0.27100000000000002</v>
      </c>
      <c r="J43" s="1">
        <v>-0.159</v>
      </c>
      <c r="K43" s="1">
        <v>0.94799999999999995</v>
      </c>
      <c r="L43" s="1">
        <v>0.313</v>
      </c>
      <c r="M43" s="1">
        <v>-4.87E-2</v>
      </c>
      <c r="N43" s="1">
        <v>20.504000000000001</v>
      </c>
      <c r="O43" s="1">
        <v>4.5339999999999998</v>
      </c>
      <c r="P43" s="1">
        <v>12.208</v>
      </c>
      <c r="Q43" s="1">
        <v>62.767000000000003</v>
      </c>
      <c r="R43" s="1">
        <v>63.433999999999997</v>
      </c>
      <c r="S43" s="1">
        <f t="shared" si="0"/>
        <v>63.100499999999997</v>
      </c>
      <c r="T43" s="1">
        <v>3.1309999999999998</v>
      </c>
      <c r="U43" s="1">
        <v>3.101</v>
      </c>
      <c r="V43" s="1">
        <f t="shared" si="1"/>
        <v>3.1159999999999997</v>
      </c>
      <c r="W43" s="1">
        <v>-3.8180000000000001</v>
      </c>
      <c r="X43" s="1">
        <v>3.3359999999999999</v>
      </c>
      <c r="Y43" s="1">
        <v>12.2</v>
      </c>
    </row>
    <row r="44" spans="1:25">
      <c r="A44" s="3">
        <v>44918</v>
      </c>
      <c r="B44" s="6">
        <v>0.84155092592592595</v>
      </c>
      <c r="C44" s="4" t="s">
        <v>28</v>
      </c>
      <c r="D44" s="7">
        <v>0.8424652777777778</v>
      </c>
      <c r="E44" s="7">
        <v>0.84173611111111113</v>
      </c>
      <c r="F44" s="7">
        <v>0.84128472222222217</v>
      </c>
      <c r="G44" s="7">
        <v>0.8394328703703704</v>
      </c>
      <c r="H44" s="1">
        <v>0.93</v>
      </c>
      <c r="I44" s="1">
        <v>-0.27600000000000002</v>
      </c>
      <c r="J44" s="1">
        <v>0.24</v>
      </c>
      <c r="K44" s="1">
        <v>0.95899999999999996</v>
      </c>
      <c r="L44" s="1">
        <v>0.26700000000000002</v>
      </c>
      <c r="M44" s="1">
        <v>-9.0999999999999998E-2</v>
      </c>
      <c r="N44" s="1">
        <v>21.306999999999999</v>
      </c>
      <c r="O44" s="1">
        <v>12.676</v>
      </c>
      <c r="P44" s="1">
        <v>9.44</v>
      </c>
      <c r="Q44" s="1">
        <v>54.030999999999999</v>
      </c>
      <c r="R44" s="1">
        <v>54.512999999999998</v>
      </c>
      <c r="S44" s="1">
        <f t="shared" si="0"/>
        <v>54.271999999999998</v>
      </c>
      <c r="T44" s="1">
        <v>3.1190000000000002</v>
      </c>
      <c r="U44" s="1">
        <v>3.2290000000000001</v>
      </c>
      <c r="V44" s="1">
        <f t="shared" si="1"/>
        <v>3.1740000000000004</v>
      </c>
      <c r="W44" s="1">
        <v>-3.4510000000000001</v>
      </c>
      <c r="X44" s="1">
        <v>3.2650000000000001</v>
      </c>
      <c r="Y44" s="1">
        <v>12.2</v>
      </c>
    </row>
    <row r="45" spans="1:25">
      <c r="A45" s="3">
        <v>44922</v>
      </c>
      <c r="B45" s="6">
        <v>0.50357638888888889</v>
      </c>
      <c r="C45" s="4" t="s">
        <v>28</v>
      </c>
      <c r="D45" s="7">
        <v>0.50416666666666665</v>
      </c>
      <c r="E45" s="7">
        <v>0.50373842592592588</v>
      </c>
      <c r="F45" s="7">
        <v>0.50340277777777775</v>
      </c>
      <c r="G45" s="7">
        <v>0.50305555555555559</v>
      </c>
      <c r="H45" s="1">
        <v>0.86899999999999999</v>
      </c>
      <c r="I45" s="1">
        <v>-0.45500000000000002</v>
      </c>
      <c r="J45" s="1">
        <v>-0.19</v>
      </c>
      <c r="K45" s="1">
        <v>0.97599999999999998</v>
      </c>
      <c r="L45" s="1">
        <v>0.19741</v>
      </c>
      <c r="M45" s="1">
        <v>8.7900000000000006E-2</v>
      </c>
      <c r="N45" s="1">
        <v>48.103000000000002</v>
      </c>
      <c r="O45" s="1">
        <v>1.3320000000000001</v>
      </c>
      <c r="P45" s="1">
        <v>31.986999999999998</v>
      </c>
      <c r="Q45" s="1">
        <v>68.787000000000006</v>
      </c>
      <c r="R45" s="1">
        <v>69.766999999999996</v>
      </c>
      <c r="S45" s="1">
        <f t="shared" si="0"/>
        <v>69.277000000000001</v>
      </c>
      <c r="T45" s="1">
        <v>3.0489999999999999</v>
      </c>
      <c r="U45" s="1">
        <v>3.593</v>
      </c>
      <c r="V45" s="1">
        <f t="shared" si="1"/>
        <v>3.3209999999999997</v>
      </c>
      <c r="W45" s="1">
        <v>-6.6180000000000003</v>
      </c>
      <c r="X45" s="1">
        <v>4.5789999999999997</v>
      </c>
      <c r="Y45" s="1">
        <v>177.6</v>
      </c>
    </row>
    <row r="46" spans="1:25">
      <c r="A46" s="3">
        <v>44922</v>
      </c>
      <c r="B46" s="6">
        <v>0.37498842592592591</v>
      </c>
      <c r="C46" s="4" t="s">
        <v>28</v>
      </c>
      <c r="D46" s="7">
        <v>0.37585648148148149</v>
      </c>
      <c r="E46" s="7">
        <v>0.37526620370370373</v>
      </c>
      <c r="F46" s="7">
        <v>0.37444444444444447</v>
      </c>
      <c r="G46" s="7">
        <v>0.37377314814814816</v>
      </c>
      <c r="H46" s="1">
        <v>0.95299999999999996</v>
      </c>
      <c r="I46" s="1">
        <v>-0.30099999999999999</v>
      </c>
      <c r="J46" s="1">
        <v>2.1000000000000001E-2</v>
      </c>
      <c r="K46" s="1">
        <v>0.97299999999999998</v>
      </c>
      <c r="L46" s="1">
        <v>0.22600000000000001</v>
      </c>
      <c r="M46" s="1">
        <v>-2.5100000000000001E-2</v>
      </c>
      <c r="N46" s="1">
        <v>76.838999999999999</v>
      </c>
      <c r="O46" s="1">
        <v>63.859000000000002</v>
      </c>
      <c r="P46" s="1">
        <v>27.292999999999999</v>
      </c>
      <c r="Q46" s="1">
        <v>75.853999999999999</v>
      </c>
      <c r="R46" s="1">
        <v>75.897999999999996</v>
      </c>
      <c r="S46" s="1">
        <f t="shared" si="0"/>
        <v>75.876000000000005</v>
      </c>
      <c r="T46" s="1">
        <v>4.2729999999999997</v>
      </c>
      <c r="U46" s="1">
        <v>4.4080000000000004</v>
      </c>
      <c r="V46" s="1">
        <f t="shared" si="1"/>
        <v>4.3405000000000005</v>
      </c>
      <c r="W46" s="1">
        <v>-5.8289999999999997</v>
      </c>
      <c r="X46" s="1">
        <v>4.569</v>
      </c>
      <c r="Y46" s="1">
        <v>76.8</v>
      </c>
    </row>
    <row r="47" spans="1:25">
      <c r="A47" s="3">
        <v>44931</v>
      </c>
      <c r="B47" s="6">
        <v>0.58590277777777777</v>
      </c>
      <c r="C47" s="4" t="s">
        <v>27</v>
      </c>
      <c r="D47" s="7">
        <v>0.58480324074074075</v>
      </c>
      <c r="E47" s="7">
        <v>0.58564814814814814</v>
      </c>
      <c r="F47" s="7">
        <v>0.58635416666666662</v>
      </c>
      <c r="G47" s="7">
        <v>0.58684027777777781</v>
      </c>
      <c r="H47" s="1">
        <v>0.89500000000000002</v>
      </c>
      <c r="I47" s="1">
        <v>-0.41599999999999998</v>
      </c>
      <c r="J47" s="1">
        <v>0.154</v>
      </c>
      <c r="K47" s="1">
        <v>0.85699999999999998</v>
      </c>
      <c r="L47" s="1">
        <v>0.46200000000000002</v>
      </c>
      <c r="M47" s="1">
        <v>-0.22500000000000001</v>
      </c>
      <c r="N47" s="1">
        <v>58.844999999999999</v>
      </c>
      <c r="O47" s="1">
        <v>42.670999999999999</v>
      </c>
      <c r="P47" s="1">
        <v>22.372</v>
      </c>
      <c r="Q47" s="1">
        <v>81.272999999999996</v>
      </c>
      <c r="R47" s="1">
        <v>81.311999999999998</v>
      </c>
      <c r="S47" s="1">
        <f t="shared" si="0"/>
        <v>81.29249999999999</v>
      </c>
      <c r="T47" s="1">
        <v>2.3109999999999999</v>
      </c>
      <c r="U47" s="1">
        <v>2.198</v>
      </c>
      <c r="V47" s="1">
        <f t="shared" si="1"/>
        <v>2.2545000000000002</v>
      </c>
      <c r="W47" s="1">
        <v>-3.3570000000000002</v>
      </c>
      <c r="X47" s="1">
        <v>2.9449999999999998</v>
      </c>
      <c r="Y47" s="1">
        <v>9.1999999999999993</v>
      </c>
    </row>
  </sheetData>
  <autoFilter ref="S2:S47" xr:uid="{EC8C3346-58F1-4909-8071-DCA50D847C0D}"/>
  <sortState xmlns:xlrd2="http://schemas.microsoft.com/office/spreadsheetml/2017/richdata2" ref="A3:Y47">
    <sortCondition ref="A3:A47"/>
  </sortState>
  <mergeCells count="7">
    <mergeCell ref="Q1:S1"/>
    <mergeCell ref="T1:V1"/>
    <mergeCell ref="H1:J1"/>
    <mergeCell ref="K1:M1"/>
    <mergeCell ref="D1:E1"/>
    <mergeCell ref="F1:G1"/>
    <mergeCell ref="N1:P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2484-116B-4829-92D4-FA515DE167C6}">
  <dimension ref="A1:X13"/>
  <sheetViews>
    <sheetView workbookViewId="0">
      <selection activeCell="F24" sqref="F24"/>
    </sheetView>
  </sheetViews>
  <sheetFormatPr defaultRowHeight="15"/>
  <cols>
    <col min="1" max="1" width="12.42578125" style="2" bestFit="1" customWidth="1"/>
    <col min="2" max="2" width="10.140625" style="4" bestFit="1" customWidth="1"/>
    <col min="4" max="7" width="10.140625" style="4" bestFit="1" customWidth="1"/>
  </cols>
  <sheetData>
    <row r="1" spans="1:24">
      <c r="C1" s="4"/>
      <c r="D1" s="17" t="s">
        <v>2</v>
      </c>
      <c r="E1" s="17"/>
      <c r="F1" s="17" t="s">
        <v>5</v>
      </c>
      <c r="G1" s="17"/>
      <c r="H1" s="16" t="s">
        <v>7</v>
      </c>
      <c r="I1" s="16"/>
      <c r="J1" s="16"/>
      <c r="K1" s="16" t="s">
        <v>8</v>
      </c>
      <c r="L1" s="16"/>
      <c r="M1" s="16"/>
      <c r="N1" s="16" t="s">
        <v>12</v>
      </c>
      <c r="O1" s="16"/>
      <c r="P1" s="16"/>
      <c r="Q1" s="16" t="s">
        <v>18</v>
      </c>
      <c r="R1" s="16"/>
      <c r="S1" s="16"/>
      <c r="T1" s="16" t="s">
        <v>16</v>
      </c>
      <c r="U1" s="16"/>
    </row>
    <row r="2" spans="1:24">
      <c r="A2" s="2" t="s">
        <v>0</v>
      </c>
      <c r="B2" s="4" t="s">
        <v>1</v>
      </c>
      <c r="C2" s="4" t="s">
        <v>26</v>
      </c>
      <c r="D2" s="4" t="s">
        <v>3</v>
      </c>
      <c r="E2" s="4" t="s">
        <v>4</v>
      </c>
      <c r="F2" s="4" t="s">
        <v>6</v>
      </c>
      <c r="G2" s="4" t="s">
        <v>4</v>
      </c>
      <c r="H2" t="s">
        <v>9</v>
      </c>
      <c r="I2" t="s">
        <v>10</v>
      </c>
      <c r="J2" t="s">
        <v>11</v>
      </c>
      <c r="K2" t="s">
        <v>9</v>
      </c>
      <c r="L2" t="s">
        <v>10</v>
      </c>
      <c r="M2" t="s">
        <v>11</v>
      </c>
      <c r="N2" t="s">
        <v>13</v>
      </c>
      <c r="O2" t="s">
        <v>14</v>
      </c>
      <c r="P2" t="s">
        <v>15</v>
      </c>
      <c r="Q2" t="s">
        <v>7</v>
      </c>
      <c r="R2" t="s">
        <v>8</v>
      </c>
      <c r="S2" t="s">
        <v>30</v>
      </c>
      <c r="T2" t="s">
        <v>7</v>
      </c>
      <c r="U2" t="s">
        <v>8</v>
      </c>
      <c r="V2" t="s">
        <v>17</v>
      </c>
      <c r="W2" t="s">
        <v>29</v>
      </c>
    </row>
    <row r="3" spans="1:24">
      <c r="A3" s="3">
        <v>42713</v>
      </c>
      <c r="B3" s="10">
        <v>0.43701388888888887</v>
      </c>
      <c r="C3" s="4" t="s">
        <v>27</v>
      </c>
      <c r="D3" s="7">
        <v>0.4367476851851852</v>
      </c>
      <c r="E3" s="7">
        <v>0.43686342592592592</v>
      </c>
      <c r="F3" s="7">
        <v>0.43707175925925928</v>
      </c>
      <c r="G3" s="7">
        <v>0.4372800925925926</v>
      </c>
      <c r="H3" s="1">
        <v>0.23899999999999999</v>
      </c>
      <c r="I3" s="1">
        <v>-0.55600000000000005</v>
      </c>
      <c r="J3" s="1">
        <v>0.79500000000000004</v>
      </c>
      <c r="K3" s="1">
        <v>0.99299999999999999</v>
      </c>
      <c r="L3" s="1">
        <v>0.114</v>
      </c>
      <c r="M3" s="1">
        <v>1.7299999999999999E-2</v>
      </c>
      <c r="N3" s="1">
        <v>161.334</v>
      </c>
      <c r="O3" s="1">
        <v>52.177</v>
      </c>
      <c r="P3" s="1">
        <v>11.802</v>
      </c>
      <c r="Q3" s="1">
        <v>86.685000000000002</v>
      </c>
      <c r="R3" s="1">
        <v>89.378</v>
      </c>
      <c r="S3" s="1">
        <f t="shared" ref="S3:S12" si="0">AVERAGE(Q3,R3)</f>
        <v>88.031499999999994</v>
      </c>
      <c r="T3" s="1">
        <v>4.2519999999999998</v>
      </c>
      <c r="U3" s="1">
        <v>8.7520000000000007</v>
      </c>
      <c r="V3" s="1">
        <v>-6.5259999999999998</v>
      </c>
      <c r="W3" s="1">
        <v>6.3739999999999997</v>
      </c>
    </row>
    <row r="4" spans="1:24">
      <c r="A4" s="3">
        <v>43021</v>
      </c>
      <c r="B4" s="13">
        <v>0.40578703703703706</v>
      </c>
      <c r="C4" s="4" t="s">
        <v>27</v>
      </c>
      <c r="D4" s="7">
        <v>0.40509259259259262</v>
      </c>
      <c r="E4" s="7">
        <v>0.4054861111111111</v>
      </c>
      <c r="F4" s="7">
        <v>0.40616898148148151</v>
      </c>
      <c r="G4" s="7">
        <v>0.40671296296296294</v>
      </c>
      <c r="H4" s="1">
        <v>0.45500000000000002</v>
      </c>
      <c r="I4" s="1">
        <v>-0.70499999999999996</v>
      </c>
      <c r="J4" s="1">
        <v>-0.54200000000000004</v>
      </c>
      <c r="K4" s="1">
        <v>0.71</v>
      </c>
      <c r="L4" s="1">
        <v>0.63300000000000001</v>
      </c>
      <c r="M4" s="1">
        <v>0.307</v>
      </c>
      <c r="N4" s="1">
        <v>405.37400000000002</v>
      </c>
      <c r="O4" s="1">
        <v>4.6239999999999997</v>
      </c>
      <c r="P4" s="1">
        <v>29.754999999999999</v>
      </c>
      <c r="Q4" s="1">
        <v>77.680999999999997</v>
      </c>
      <c r="R4" s="1">
        <v>86.445999999999998</v>
      </c>
      <c r="S4" s="1">
        <f t="shared" si="0"/>
        <v>82.063500000000005</v>
      </c>
      <c r="T4" s="1">
        <v>7.8719999999999999</v>
      </c>
      <c r="U4" s="1">
        <v>9.4429999999999996</v>
      </c>
      <c r="V4" s="1">
        <v>-6.8040000000000003</v>
      </c>
      <c r="W4" s="1">
        <v>7.5570000000000004</v>
      </c>
      <c r="X4" t="s">
        <v>32</v>
      </c>
    </row>
    <row r="5" spans="1:24">
      <c r="A5" s="3">
        <v>43052</v>
      </c>
      <c r="B5" s="13">
        <v>0.71107638888888891</v>
      </c>
      <c r="C5" s="4" t="s">
        <v>27</v>
      </c>
      <c r="D5" s="7">
        <v>0.70871527777777776</v>
      </c>
      <c r="E5" s="7">
        <v>0.70931712962962967</v>
      </c>
      <c r="F5" s="7">
        <v>0.7117013888888889</v>
      </c>
      <c r="G5" s="7">
        <v>0.71233796296296292</v>
      </c>
      <c r="H5" s="1">
        <v>0.96899999999999997</v>
      </c>
      <c r="I5" s="1">
        <v>-2.1999999999999999E-2</v>
      </c>
      <c r="J5" s="1">
        <v>-0.24199999999999999</v>
      </c>
      <c r="K5" s="1">
        <v>0.997</v>
      </c>
      <c r="L5" s="1">
        <v>8.0000000000000002E-3</v>
      </c>
      <c r="M5" s="1">
        <v>-7.5999999999999998E-2</v>
      </c>
      <c r="N5" s="1">
        <v>213.10499999999999</v>
      </c>
      <c r="O5" s="1">
        <v>246.78100000000001</v>
      </c>
      <c r="P5" s="1">
        <v>785.66</v>
      </c>
      <c r="Q5" s="1">
        <v>8.8960000000000008</v>
      </c>
      <c r="R5" s="1">
        <v>13.218</v>
      </c>
      <c r="S5" s="1">
        <f t="shared" si="0"/>
        <v>11.057</v>
      </c>
      <c r="T5" s="1">
        <v>12.002000000000001</v>
      </c>
      <c r="U5" s="1">
        <v>12.481999999999999</v>
      </c>
      <c r="V5" s="1">
        <v>-3.7549999999999999</v>
      </c>
      <c r="W5" t="e">
        <v>#NUM!</v>
      </c>
      <c r="X5" t="s">
        <v>32</v>
      </c>
    </row>
    <row r="6" spans="1:24">
      <c r="A6" s="3">
        <v>43098</v>
      </c>
      <c r="B6" s="13">
        <v>4.5023148148148149E-3</v>
      </c>
      <c r="C6" s="4" t="s">
        <v>28</v>
      </c>
      <c r="D6" s="7">
        <v>6.3657407407407404E-3</v>
      </c>
      <c r="E6" s="7">
        <v>5.8912037037037041E-3</v>
      </c>
      <c r="F6" s="7">
        <v>3.3564814814814816E-3</v>
      </c>
      <c r="G6" s="7">
        <v>1.6550925925925926E-3</v>
      </c>
      <c r="H6" s="1">
        <v>0.98699999999999999</v>
      </c>
      <c r="I6" s="1">
        <v>0.03</v>
      </c>
      <c r="J6" s="1">
        <v>-0.154</v>
      </c>
      <c r="K6" s="1">
        <v>0.99099999999999999</v>
      </c>
      <c r="L6" s="1">
        <v>2.7E-2</v>
      </c>
      <c r="M6" s="1">
        <v>-0.129</v>
      </c>
      <c r="N6" s="1">
        <v>26.989000000000001</v>
      </c>
      <c r="O6" s="1">
        <v>25.852</v>
      </c>
      <c r="P6" s="1">
        <v>58.302999999999997</v>
      </c>
      <c r="Q6" s="1">
        <v>2.8650000000000002</v>
      </c>
      <c r="R6" s="1">
        <v>3.2109999999999999</v>
      </c>
      <c r="S6" s="1">
        <f t="shared" si="0"/>
        <v>3.0380000000000003</v>
      </c>
      <c r="T6" s="1">
        <v>6.9960000000000004</v>
      </c>
      <c r="U6" s="1">
        <v>7.008</v>
      </c>
      <c r="V6" s="1">
        <v>-2.46</v>
      </c>
      <c r="W6" t="e">
        <v>#NUM!</v>
      </c>
      <c r="X6" t="s">
        <v>32</v>
      </c>
    </row>
    <row r="7" spans="1:24">
      <c r="A7" s="3">
        <v>43106</v>
      </c>
      <c r="B7" s="13">
        <v>0.58087962962962958</v>
      </c>
      <c r="C7" s="4" t="s">
        <v>28</v>
      </c>
      <c r="D7" s="5">
        <v>0.58126157407407408</v>
      </c>
      <c r="E7" s="5">
        <v>0.58107638888888891</v>
      </c>
      <c r="F7" s="5">
        <v>0.58065972222222217</v>
      </c>
      <c r="G7" s="5">
        <v>0.58043981481481477</v>
      </c>
      <c r="H7" s="1">
        <v>0.64200000000000002</v>
      </c>
      <c r="I7" s="1">
        <v>-0.48199999999999998</v>
      </c>
      <c r="J7" s="1">
        <v>0.59499999999999997</v>
      </c>
      <c r="K7" s="1">
        <v>0.73199999999999998</v>
      </c>
      <c r="L7" s="1">
        <v>-0.36699999999999999</v>
      </c>
      <c r="M7" s="1">
        <v>0.57199999999999995</v>
      </c>
      <c r="N7" s="1">
        <v>40.920999999999999</v>
      </c>
      <c r="O7" s="1">
        <v>62.176000000000002</v>
      </c>
      <c r="P7" s="1">
        <v>25.902999999999999</v>
      </c>
      <c r="Q7" s="1">
        <v>43.664999999999999</v>
      </c>
      <c r="R7" s="1">
        <v>44.32</v>
      </c>
      <c r="S7" s="1">
        <f t="shared" si="0"/>
        <v>43.9925</v>
      </c>
      <c r="T7" s="1">
        <v>9.0410000000000004</v>
      </c>
      <c r="U7" s="1">
        <v>10.23</v>
      </c>
      <c r="V7" s="1">
        <v>-2.1560000000000001</v>
      </c>
      <c r="W7" t="e">
        <v>#NUM!</v>
      </c>
    </row>
    <row r="8" spans="1:24">
      <c r="A8" s="3">
        <v>43481</v>
      </c>
      <c r="B8" s="4">
        <v>0.1789236111111111</v>
      </c>
      <c r="C8" s="4" t="s">
        <v>27</v>
      </c>
      <c r="D8" s="7">
        <v>0.17712962962962964</v>
      </c>
      <c r="E8" s="7">
        <v>0.17755787037037038</v>
      </c>
      <c r="F8" s="7">
        <v>0.1791550925925926</v>
      </c>
      <c r="G8" s="7">
        <v>0.17929398148148148</v>
      </c>
      <c r="H8" s="1">
        <v>0.57999999999999996</v>
      </c>
      <c r="I8" s="1">
        <v>-0.81299999999999994</v>
      </c>
      <c r="J8" s="1">
        <v>-3.5000000000000003E-2</v>
      </c>
      <c r="K8" s="1">
        <v>0.94199999999999995</v>
      </c>
      <c r="L8" s="1">
        <v>0.308</v>
      </c>
      <c r="M8" s="1">
        <v>0.13100000000000001</v>
      </c>
      <c r="N8" s="1">
        <v>111.176</v>
      </c>
      <c r="O8" s="1">
        <v>7.3460000000000001</v>
      </c>
      <c r="P8" s="1">
        <v>3.1819999999999999</v>
      </c>
      <c r="Q8" s="1">
        <v>58.454999999999998</v>
      </c>
      <c r="R8" s="1">
        <v>65.180999999999997</v>
      </c>
      <c r="S8" s="1">
        <f t="shared" si="0"/>
        <v>61.817999999999998</v>
      </c>
      <c r="T8" s="1">
        <v>5.4660000000000002</v>
      </c>
      <c r="U8" s="1">
        <v>11.089</v>
      </c>
      <c r="V8" s="1">
        <v>-6.165</v>
      </c>
      <c r="W8" t="e">
        <v>#NUM!</v>
      </c>
      <c r="X8" t="s">
        <v>32</v>
      </c>
    </row>
    <row r="9" spans="1:24">
      <c r="A9" s="3">
        <v>43840</v>
      </c>
      <c r="B9" s="13">
        <v>0.68144675925925924</v>
      </c>
      <c r="C9" s="4" t="s">
        <v>27</v>
      </c>
      <c r="D9" s="7">
        <v>0.68084490740740744</v>
      </c>
      <c r="E9" s="7">
        <v>0.68123842592592587</v>
      </c>
      <c r="F9" s="7">
        <v>0.68163194444444442</v>
      </c>
      <c r="G9" s="7">
        <v>0.68204861111111115</v>
      </c>
      <c r="H9" s="1">
        <v>0.80300000000000005</v>
      </c>
      <c r="I9" s="1">
        <v>0.2</v>
      </c>
      <c r="J9" s="1">
        <v>0.56000000000000005</v>
      </c>
      <c r="K9" s="1">
        <v>0.875</v>
      </c>
      <c r="L9" s="1">
        <v>0.44500000000000001</v>
      </c>
      <c r="M9" s="1">
        <v>-0.185</v>
      </c>
      <c r="N9" s="1">
        <v>94.626000000000005</v>
      </c>
      <c r="O9" s="1">
        <v>19.471</v>
      </c>
      <c r="P9" s="1">
        <v>25.773</v>
      </c>
      <c r="Q9" s="1">
        <v>82.361999999999995</v>
      </c>
      <c r="R9" s="1">
        <v>84.522999999999996</v>
      </c>
      <c r="S9" s="1">
        <f t="shared" si="0"/>
        <v>83.442499999999995</v>
      </c>
      <c r="T9" s="1">
        <v>9.4350000000000005</v>
      </c>
      <c r="U9" s="1">
        <v>9.593</v>
      </c>
      <c r="V9" s="1">
        <v>-2.569</v>
      </c>
      <c r="W9" t="e">
        <v>#NUM!</v>
      </c>
      <c r="X9" t="s">
        <v>32</v>
      </c>
    </row>
    <row r="10" spans="1:24">
      <c r="A10" s="3">
        <v>43844</v>
      </c>
      <c r="B10" s="13">
        <v>0.1547337962962963</v>
      </c>
      <c r="C10" s="4" t="s">
        <v>28</v>
      </c>
      <c r="D10" s="7">
        <v>0.15525462962962963</v>
      </c>
      <c r="E10" s="7">
        <v>0.15496527777777777</v>
      </c>
      <c r="F10" s="7">
        <v>0.1542476851851852</v>
      </c>
      <c r="G10" s="7">
        <v>0.15372685185185186</v>
      </c>
      <c r="H10" s="1">
        <v>0.94399999999999995</v>
      </c>
      <c r="I10" s="1">
        <v>0.32800000000000001</v>
      </c>
      <c r="J10" s="1">
        <v>3.2000000000000001E-2</v>
      </c>
      <c r="K10" s="1">
        <v>0.94799999999999995</v>
      </c>
      <c r="L10" s="1">
        <v>-0.315</v>
      </c>
      <c r="M10" s="1">
        <v>-7.0000000000000001E-3</v>
      </c>
      <c r="N10" s="1">
        <v>108.74</v>
      </c>
      <c r="O10" s="1">
        <v>107.685</v>
      </c>
      <c r="P10" s="1">
        <v>83.113</v>
      </c>
      <c r="Q10" s="1">
        <v>5.8570000000000002</v>
      </c>
      <c r="R10" s="1">
        <v>6.0830000000000002</v>
      </c>
      <c r="S10" s="1">
        <f t="shared" si="0"/>
        <v>5.9700000000000006</v>
      </c>
      <c r="T10" s="1">
        <v>7.0279999999999996</v>
      </c>
      <c r="U10" s="1">
        <v>7.0389999999999997</v>
      </c>
      <c r="V10" s="1">
        <v>-2.831</v>
      </c>
      <c r="W10" t="e">
        <v>#NUM!</v>
      </c>
    </row>
    <row r="11" spans="1:24">
      <c r="A11" s="3">
        <v>43897</v>
      </c>
      <c r="B11" s="13">
        <v>0.54282407407407407</v>
      </c>
      <c r="C11" t="s">
        <v>28</v>
      </c>
      <c r="D11" s="7">
        <v>0.54399305555555555</v>
      </c>
      <c r="E11" s="7">
        <v>0.54370370370370369</v>
      </c>
      <c r="F11" s="7">
        <v>0.54245370370370372</v>
      </c>
      <c r="G11" s="7">
        <v>0.54175925925925927</v>
      </c>
      <c r="H11" s="1">
        <v>0.76800000000000002</v>
      </c>
      <c r="I11" s="1">
        <v>0.56799999999999995</v>
      </c>
      <c r="J11" s="1">
        <v>-0.29399999999999998</v>
      </c>
      <c r="K11" s="1">
        <v>0.94499999999999995</v>
      </c>
      <c r="L11" s="1">
        <v>-0.316</v>
      </c>
      <c r="M11" s="1">
        <v>7.5999999999999998E-2</v>
      </c>
      <c r="N11" s="1">
        <v>40.807000000000002</v>
      </c>
      <c r="O11" s="1">
        <v>112.218</v>
      </c>
      <c r="P11" s="1">
        <v>161.20099999999999</v>
      </c>
      <c r="Q11" s="1">
        <v>13.154</v>
      </c>
      <c r="R11" s="1">
        <v>25.245999999999999</v>
      </c>
      <c r="S11" s="1">
        <f t="shared" si="0"/>
        <v>19.2</v>
      </c>
      <c r="T11" s="1">
        <v>6.6070000000000002</v>
      </c>
      <c r="U11" s="1">
        <v>8.157</v>
      </c>
      <c r="V11" s="1">
        <v>-5.0339999999999998</v>
      </c>
      <c r="W11" t="e">
        <v>#NUM!</v>
      </c>
    </row>
    <row r="12" spans="1:24">
      <c r="A12" s="3">
        <v>44160</v>
      </c>
      <c r="B12" s="13">
        <v>5.5833333333333332E-2</v>
      </c>
      <c r="C12" s="4" t="s">
        <v>27</v>
      </c>
      <c r="D12" s="7">
        <v>5.2777777777777778E-2</v>
      </c>
      <c r="E12" s="7">
        <v>5.4571759259259257E-2</v>
      </c>
      <c r="F12" s="7">
        <v>5.6226851851851854E-2</v>
      </c>
      <c r="G12" s="7">
        <v>5.7534722222222223E-2</v>
      </c>
      <c r="H12" s="1">
        <v>0.81799999999999995</v>
      </c>
      <c r="I12" s="1">
        <v>0.13300000000000001</v>
      </c>
      <c r="J12" s="1">
        <v>-0.55900000000000005</v>
      </c>
      <c r="K12" s="1">
        <v>0.89900000000000002</v>
      </c>
      <c r="L12" s="1">
        <v>0.35099999999999998</v>
      </c>
      <c r="M12" s="1">
        <v>0.25800000000000001</v>
      </c>
      <c r="N12" s="1">
        <v>86.637</v>
      </c>
      <c r="O12" s="1">
        <v>50.768000000000001</v>
      </c>
      <c r="P12" s="1">
        <v>32.768999999999998</v>
      </c>
      <c r="Q12" s="1">
        <v>63.226999999999997</v>
      </c>
      <c r="R12" s="1">
        <v>67.933000000000007</v>
      </c>
      <c r="S12" s="1">
        <f t="shared" si="0"/>
        <v>65.58</v>
      </c>
      <c r="T12" s="1">
        <v>10.231999999999999</v>
      </c>
      <c r="U12" s="1">
        <v>10.917</v>
      </c>
      <c r="V12" s="1">
        <v>-2.9740000000000002</v>
      </c>
      <c r="W12" t="e">
        <v>#NUM!</v>
      </c>
      <c r="X12" t="s">
        <v>32</v>
      </c>
    </row>
    <row r="13" spans="1:24">
      <c r="B13" s="13"/>
      <c r="C13" s="4"/>
      <c r="V13" s="1"/>
    </row>
  </sheetData>
  <sortState xmlns:xlrd2="http://schemas.microsoft.com/office/spreadsheetml/2017/richdata2" ref="A3:X12">
    <sortCondition ref="A3:A12"/>
  </sortState>
  <mergeCells count="7">
    <mergeCell ref="T1:U1"/>
    <mergeCell ref="D1:E1"/>
    <mergeCell ref="F1:G1"/>
    <mergeCell ref="H1:J1"/>
    <mergeCell ref="K1:M1"/>
    <mergeCell ref="N1:P1"/>
    <mergeCell ref="Q1:S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056B-93BA-4ADA-8655-661B639B8E23}">
  <dimension ref="A1:B5"/>
  <sheetViews>
    <sheetView workbookViewId="0">
      <selection activeCell="D16" sqref="D16:X17"/>
    </sheetView>
  </sheetViews>
  <sheetFormatPr defaultRowHeight="15"/>
  <cols>
    <col min="1" max="1" width="13.140625" customWidth="1"/>
    <col min="2" max="2" width="19.85546875" bestFit="1" customWidth="1"/>
  </cols>
  <sheetData>
    <row r="1" spans="1:2">
      <c r="A1" t="s">
        <v>19</v>
      </c>
      <c r="B1" t="s">
        <v>20</v>
      </c>
    </row>
    <row r="2" spans="1:2">
      <c r="A2" t="s">
        <v>7</v>
      </c>
      <c r="B2" t="s">
        <v>21</v>
      </c>
    </row>
    <row r="3" spans="1:2">
      <c r="A3" t="s">
        <v>8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15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MMS1 shock crossings 1 </vt:lpstr>
      <vt:lpstr>MMS1 shock crossings 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Hoang</dc:creator>
  <cp:lastModifiedBy>Anthony Hoang</cp:lastModifiedBy>
  <dcterms:created xsi:type="dcterms:W3CDTF">2025-11-26T18:49:57Z</dcterms:created>
  <dcterms:modified xsi:type="dcterms:W3CDTF">2026-04-27T17:23:48Z</dcterms:modified>
</cp:coreProperties>
</file>